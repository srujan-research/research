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983\Desktop\IITH2\IITH-New3-new-dataset\datasets\"/>
    </mc:Choice>
  </mc:AlternateContent>
  <xr:revisionPtr revIDLastSave="0" documentId="13_ncr:1_{DAE9AE9E-DD8F-4D5F-A31C-02C665E12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74" i="1" l="1"/>
  <c r="AO174" i="1"/>
  <c r="AN174" i="1"/>
  <c r="AM174" i="1"/>
  <c r="AL174" i="1"/>
  <c r="AK174" i="1"/>
  <c r="AP173" i="1"/>
  <c r="AO173" i="1"/>
  <c r="AN173" i="1"/>
  <c r="AM173" i="1"/>
  <c r="AL173" i="1"/>
  <c r="AK173" i="1"/>
  <c r="AP172" i="1"/>
  <c r="AO172" i="1"/>
  <c r="AN172" i="1"/>
  <c r="AM172" i="1"/>
  <c r="AL172" i="1"/>
  <c r="AK172" i="1"/>
  <c r="AP171" i="1"/>
  <c r="AO171" i="1"/>
  <c r="AN171" i="1"/>
  <c r="AM171" i="1"/>
  <c r="AL171" i="1"/>
  <c r="AK171" i="1"/>
  <c r="AP170" i="1"/>
  <c r="AO170" i="1"/>
  <c r="AN170" i="1"/>
  <c r="AM170" i="1"/>
  <c r="AL170" i="1"/>
  <c r="AK170" i="1"/>
  <c r="AP169" i="1"/>
  <c r="AO169" i="1"/>
  <c r="AN169" i="1"/>
  <c r="AM169" i="1"/>
  <c r="AL169" i="1"/>
  <c r="AK169" i="1"/>
  <c r="AP168" i="1"/>
  <c r="AO168" i="1"/>
  <c r="AN168" i="1"/>
  <c r="AM168" i="1"/>
  <c r="AL168" i="1"/>
  <c r="AK168" i="1"/>
  <c r="AP167" i="1"/>
  <c r="AO167" i="1"/>
  <c r="AN167" i="1"/>
  <c r="AM167" i="1"/>
  <c r="AL167" i="1"/>
  <c r="AK167" i="1"/>
  <c r="AP166" i="1"/>
  <c r="AO166" i="1"/>
  <c r="AN166" i="1"/>
  <c r="AM166" i="1"/>
  <c r="AL166" i="1"/>
  <c r="AK166" i="1"/>
  <c r="AP165" i="1"/>
  <c r="AO165" i="1"/>
  <c r="AN165" i="1"/>
  <c r="AM165" i="1"/>
  <c r="AL165" i="1"/>
  <c r="AK165" i="1"/>
  <c r="AP164" i="1"/>
  <c r="AO164" i="1"/>
  <c r="AN164" i="1"/>
  <c r="AM164" i="1"/>
  <c r="AL164" i="1"/>
  <c r="AK164" i="1"/>
  <c r="AP163" i="1"/>
  <c r="AO163" i="1"/>
  <c r="AN163" i="1"/>
  <c r="AM163" i="1"/>
  <c r="AL163" i="1"/>
  <c r="AK163" i="1"/>
  <c r="AP162" i="1"/>
  <c r="AO162" i="1"/>
  <c r="AN162" i="1"/>
  <c r="AM162" i="1"/>
  <c r="AL162" i="1"/>
  <c r="AK162" i="1"/>
  <c r="AP161" i="1"/>
  <c r="AO161" i="1"/>
  <c r="AN161" i="1"/>
  <c r="AM161" i="1"/>
  <c r="AL161" i="1"/>
  <c r="AK161" i="1"/>
  <c r="AP160" i="1"/>
  <c r="AO160" i="1"/>
  <c r="AN160" i="1"/>
  <c r="AM160" i="1"/>
  <c r="AL160" i="1"/>
  <c r="AK160" i="1"/>
  <c r="AP159" i="1"/>
  <c r="AO159" i="1"/>
  <c r="AN159" i="1"/>
  <c r="AM159" i="1"/>
  <c r="AL159" i="1"/>
  <c r="AK159" i="1"/>
  <c r="AP158" i="1"/>
  <c r="AO158" i="1"/>
  <c r="AN158" i="1"/>
  <c r="AM158" i="1"/>
  <c r="AL158" i="1"/>
  <c r="AK158" i="1"/>
  <c r="AP157" i="1"/>
  <c r="AO157" i="1"/>
  <c r="AN157" i="1"/>
  <c r="AM157" i="1"/>
  <c r="AL157" i="1"/>
  <c r="AK157" i="1"/>
  <c r="AP156" i="1"/>
  <c r="AO156" i="1"/>
  <c r="AN156" i="1"/>
  <c r="AM156" i="1"/>
  <c r="AL156" i="1"/>
  <c r="AK156" i="1"/>
  <c r="AP155" i="1"/>
  <c r="AO155" i="1"/>
  <c r="AN155" i="1"/>
  <c r="AM155" i="1"/>
  <c r="AL155" i="1"/>
  <c r="AK155" i="1"/>
  <c r="AP154" i="1"/>
  <c r="AO154" i="1"/>
  <c r="AN154" i="1"/>
  <c r="AM154" i="1"/>
  <c r="AL154" i="1"/>
  <c r="AK154" i="1"/>
  <c r="AP153" i="1"/>
  <c r="AO153" i="1"/>
  <c r="AN153" i="1"/>
  <c r="AM153" i="1"/>
  <c r="AL153" i="1"/>
  <c r="AK153" i="1"/>
  <c r="AP152" i="1"/>
  <c r="AO152" i="1"/>
  <c r="AN152" i="1"/>
  <c r="AM152" i="1"/>
  <c r="AL152" i="1"/>
  <c r="AK152" i="1"/>
  <c r="AP151" i="1"/>
  <c r="AO151" i="1"/>
  <c r="AN151" i="1"/>
  <c r="AM151" i="1"/>
  <c r="AL151" i="1"/>
  <c r="AK151" i="1"/>
  <c r="AP150" i="1"/>
  <c r="AO150" i="1"/>
  <c r="AN150" i="1"/>
  <c r="AM150" i="1"/>
  <c r="AL150" i="1"/>
  <c r="AK150" i="1"/>
  <c r="AP149" i="1"/>
  <c r="AO149" i="1"/>
  <c r="AN149" i="1"/>
  <c r="AM149" i="1"/>
  <c r="AL149" i="1"/>
  <c r="AK149" i="1"/>
  <c r="AP148" i="1"/>
  <c r="AO148" i="1"/>
  <c r="AN148" i="1"/>
  <c r="AM148" i="1"/>
  <c r="AL148" i="1"/>
  <c r="AK148" i="1"/>
  <c r="AP147" i="1"/>
  <c r="AO147" i="1"/>
  <c r="AN147" i="1"/>
  <c r="AM147" i="1"/>
  <c r="AL147" i="1"/>
  <c r="AK147" i="1"/>
  <c r="AP146" i="1"/>
  <c r="AO146" i="1"/>
  <c r="AN146" i="1"/>
  <c r="AM146" i="1"/>
  <c r="AL146" i="1"/>
  <c r="AK146" i="1"/>
  <c r="AP145" i="1"/>
  <c r="AO145" i="1"/>
  <c r="AN145" i="1"/>
  <c r="AM145" i="1"/>
  <c r="AL145" i="1"/>
  <c r="AK145" i="1"/>
  <c r="AP144" i="1"/>
  <c r="AO144" i="1"/>
  <c r="AN144" i="1"/>
  <c r="AM144" i="1"/>
  <c r="AL144" i="1"/>
  <c r="AK144" i="1"/>
  <c r="AP143" i="1"/>
  <c r="AO143" i="1"/>
  <c r="AN143" i="1"/>
  <c r="AM143" i="1"/>
  <c r="AL143" i="1"/>
  <c r="AK143" i="1"/>
  <c r="AP142" i="1"/>
  <c r="AO142" i="1"/>
  <c r="AN142" i="1"/>
  <c r="AM142" i="1"/>
  <c r="AL142" i="1"/>
  <c r="AK142" i="1"/>
  <c r="AP141" i="1"/>
  <c r="AO141" i="1"/>
  <c r="AN141" i="1"/>
  <c r="AM141" i="1"/>
  <c r="AL141" i="1"/>
  <c r="AK141" i="1"/>
  <c r="AP140" i="1"/>
  <c r="AO140" i="1"/>
  <c r="AN140" i="1"/>
  <c r="AM140" i="1"/>
  <c r="AL140" i="1"/>
  <c r="AK140" i="1"/>
  <c r="AP139" i="1"/>
  <c r="AO139" i="1"/>
  <c r="AN139" i="1"/>
  <c r="AM139" i="1"/>
  <c r="AL139" i="1"/>
  <c r="AK139" i="1"/>
  <c r="AP138" i="1"/>
  <c r="AO138" i="1"/>
  <c r="AN138" i="1"/>
  <c r="AM138" i="1"/>
  <c r="AL138" i="1"/>
  <c r="AK138" i="1"/>
  <c r="AP137" i="1"/>
  <c r="AO137" i="1"/>
  <c r="AN137" i="1"/>
  <c r="AM137" i="1"/>
  <c r="AL137" i="1"/>
  <c r="AK137" i="1"/>
  <c r="AP136" i="1"/>
  <c r="AO136" i="1"/>
  <c r="AN136" i="1"/>
  <c r="AM136" i="1"/>
  <c r="AL136" i="1"/>
  <c r="AK136" i="1"/>
  <c r="AP135" i="1"/>
  <c r="AO135" i="1"/>
  <c r="AN135" i="1"/>
  <c r="AM135" i="1"/>
  <c r="AL135" i="1"/>
  <c r="AK135" i="1"/>
  <c r="AP134" i="1"/>
  <c r="AO134" i="1"/>
  <c r="AN134" i="1"/>
  <c r="AM134" i="1"/>
  <c r="AL134" i="1"/>
  <c r="AK134" i="1"/>
  <c r="AP133" i="1"/>
  <c r="AO133" i="1"/>
  <c r="AN133" i="1"/>
  <c r="AM133" i="1"/>
  <c r="AL133" i="1"/>
  <c r="AK133" i="1"/>
  <c r="AP132" i="1"/>
  <c r="AO132" i="1"/>
  <c r="AN132" i="1"/>
  <c r="AM132" i="1"/>
  <c r="AL132" i="1"/>
  <c r="AK132" i="1"/>
  <c r="AP131" i="1"/>
  <c r="AO131" i="1"/>
  <c r="AN131" i="1"/>
  <c r="AM131" i="1"/>
  <c r="AL131" i="1"/>
  <c r="AK131" i="1"/>
  <c r="AP130" i="1"/>
  <c r="AO130" i="1"/>
  <c r="AN130" i="1"/>
  <c r="AM130" i="1"/>
  <c r="AL130" i="1"/>
  <c r="AK130" i="1"/>
  <c r="AP129" i="1"/>
  <c r="AO129" i="1"/>
  <c r="AN129" i="1"/>
  <c r="AM129" i="1"/>
  <c r="AL129" i="1"/>
  <c r="AK129" i="1"/>
  <c r="AP128" i="1"/>
  <c r="AO128" i="1"/>
  <c r="AN128" i="1"/>
  <c r="AM128" i="1"/>
  <c r="AL128" i="1"/>
  <c r="AK128" i="1"/>
  <c r="AP127" i="1"/>
  <c r="AO127" i="1"/>
  <c r="AN127" i="1"/>
  <c r="AM127" i="1"/>
  <c r="AL127" i="1"/>
  <c r="AK127" i="1"/>
  <c r="AP126" i="1"/>
  <c r="AO126" i="1"/>
  <c r="AN126" i="1"/>
  <c r="AM126" i="1"/>
  <c r="AL126" i="1"/>
  <c r="AK126" i="1"/>
  <c r="AP125" i="1"/>
  <c r="AO125" i="1"/>
  <c r="AN125" i="1"/>
  <c r="AM125" i="1"/>
  <c r="AL125" i="1"/>
  <c r="AK125" i="1"/>
  <c r="AP124" i="1"/>
  <c r="AO124" i="1"/>
  <c r="AN124" i="1"/>
  <c r="AM124" i="1"/>
  <c r="AL124" i="1"/>
  <c r="AK124" i="1"/>
  <c r="AP123" i="1"/>
  <c r="AO123" i="1"/>
  <c r="AN123" i="1"/>
  <c r="AM123" i="1"/>
  <c r="AL123" i="1"/>
  <c r="AK123" i="1"/>
  <c r="AP122" i="1"/>
  <c r="AO122" i="1"/>
  <c r="AN122" i="1"/>
  <c r="AM122" i="1"/>
  <c r="AL122" i="1"/>
  <c r="AK122" i="1"/>
  <c r="AP121" i="1"/>
  <c r="AO121" i="1"/>
  <c r="AN121" i="1"/>
  <c r="AM121" i="1"/>
  <c r="AL121" i="1"/>
  <c r="AK121" i="1"/>
  <c r="AP120" i="1"/>
  <c r="AO120" i="1"/>
  <c r="AN120" i="1"/>
  <c r="AM120" i="1"/>
  <c r="AL120" i="1"/>
  <c r="AK120" i="1"/>
  <c r="AP119" i="1"/>
  <c r="AO119" i="1"/>
  <c r="AN119" i="1"/>
  <c r="AM119" i="1"/>
  <c r="AL119" i="1"/>
  <c r="AK119" i="1"/>
  <c r="AP118" i="1"/>
  <c r="AO118" i="1"/>
  <c r="AN118" i="1"/>
  <c r="AM118" i="1"/>
  <c r="AL118" i="1"/>
  <c r="AK118" i="1"/>
  <c r="AP117" i="1"/>
  <c r="AO117" i="1"/>
  <c r="AN117" i="1"/>
  <c r="AM117" i="1"/>
  <c r="AL117" i="1"/>
  <c r="AK117" i="1"/>
  <c r="AP116" i="1"/>
  <c r="AO116" i="1"/>
  <c r="AN116" i="1"/>
  <c r="AM116" i="1"/>
  <c r="AL116" i="1"/>
  <c r="AK116" i="1"/>
  <c r="AP115" i="1"/>
  <c r="AO115" i="1"/>
  <c r="AN115" i="1"/>
  <c r="AM115" i="1"/>
  <c r="AL115" i="1"/>
  <c r="AK115" i="1"/>
  <c r="AP114" i="1"/>
  <c r="AO114" i="1"/>
  <c r="AN114" i="1"/>
  <c r="AM114" i="1"/>
  <c r="AL114" i="1"/>
  <c r="AK114" i="1"/>
  <c r="AP113" i="1"/>
  <c r="AO113" i="1"/>
  <c r="AN113" i="1"/>
  <c r="AM113" i="1"/>
  <c r="AL113" i="1"/>
  <c r="AK113" i="1"/>
  <c r="AP112" i="1"/>
  <c r="AO112" i="1"/>
  <c r="AN112" i="1"/>
  <c r="AM112" i="1"/>
  <c r="AL112" i="1"/>
  <c r="AK112" i="1"/>
  <c r="AP111" i="1"/>
  <c r="AO111" i="1"/>
  <c r="AN111" i="1"/>
  <c r="AM111" i="1"/>
  <c r="AL111" i="1"/>
  <c r="AK111" i="1"/>
  <c r="AP110" i="1"/>
  <c r="AO110" i="1"/>
  <c r="AN110" i="1"/>
  <c r="AM110" i="1"/>
  <c r="AL110" i="1"/>
  <c r="AK110" i="1"/>
  <c r="AP109" i="1"/>
  <c r="AO109" i="1"/>
  <c r="AN109" i="1"/>
  <c r="AM109" i="1"/>
  <c r="AL109" i="1"/>
  <c r="AK109" i="1"/>
  <c r="AP108" i="1"/>
  <c r="AO108" i="1"/>
  <c r="AN108" i="1"/>
  <c r="AM108" i="1"/>
  <c r="AL108" i="1"/>
  <c r="AK108" i="1"/>
  <c r="AP107" i="1"/>
  <c r="AO107" i="1"/>
  <c r="AN107" i="1"/>
  <c r="AM107" i="1"/>
  <c r="AL107" i="1"/>
  <c r="AK107" i="1"/>
  <c r="AP106" i="1"/>
  <c r="AO106" i="1"/>
  <c r="AN106" i="1"/>
  <c r="AM106" i="1"/>
  <c r="AL106" i="1"/>
  <c r="AK106" i="1"/>
  <c r="AP105" i="1"/>
  <c r="AO105" i="1"/>
  <c r="AN105" i="1"/>
  <c r="AM105" i="1"/>
  <c r="AL105" i="1"/>
  <c r="AK105" i="1"/>
  <c r="AP104" i="1"/>
  <c r="AO104" i="1"/>
  <c r="AN104" i="1"/>
  <c r="AM104" i="1"/>
  <c r="AL104" i="1"/>
  <c r="AK104" i="1"/>
  <c r="AP103" i="1"/>
  <c r="AO103" i="1"/>
  <c r="AN103" i="1"/>
  <c r="AM103" i="1"/>
  <c r="AL103" i="1"/>
  <c r="AK103" i="1"/>
  <c r="AP102" i="1"/>
  <c r="AO102" i="1"/>
  <c r="AN102" i="1"/>
  <c r="AM102" i="1"/>
  <c r="AL102" i="1"/>
  <c r="AK102" i="1"/>
  <c r="AP101" i="1"/>
  <c r="AO101" i="1"/>
  <c r="AN101" i="1"/>
  <c r="AM101" i="1"/>
  <c r="AL101" i="1"/>
  <c r="AK101" i="1"/>
  <c r="AP100" i="1"/>
  <c r="AO100" i="1"/>
  <c r="AN100" i="1"/>
  <c r="AM100" i="1"/>
  <c r="AL100" i="1"/>
  <c r="AK100" i="1"/>
  <c r="AP99" i="1"/>
  <c r="AO99" i="1"/>
  <c r="AN99" i="1"/>
  <c r="AM99" i="1"/>
  <c r="AL99" i="1"/>
  <c r="AK99" i="1"/>
  <c r="AP98" i="1"/>
  <c r="AO98" i="1"/>
  <c r="AN98" i="1"/>
  <c r="AM98" i="1"/>
  <c r="AL98" i="1"/>
  <c r="AK98" i="1"/>
  <c r="AP97" i="1"/>
  <c r="AO97" i="1"/>
  <c r="AN97" i="1"/>
  <c r="AM97" i="1"/>
  <c r="AL97" i="1"/>
  <c r="AK97" i="1"/>
  <c r="AP96" i="1"/>
  <c r="AO96" i="1"/>
  <c r="AN96" i="1"/>
  <c r="AM96" i="1"/>
  <c r="AL96" i="1"/>
  <c r="AK96" i="1"/>
  <c r="AP95" i="1"/>
  <c r="AO95" i="1"/>
  <c r="AN95" i="1"/>
  <c r="AM95" i="1"/>
  <c r="AL95" i="1"/>
  <c r="AK95" i="1"/>
  <c r="AP94" i="1"/>
  <c r="AO94" i="1"/>
  <c r="AN94" i="1"/>
  <c r="AM94" i="1"/>
  <c r="AL94" i="1"/>
  <c r="AK94" i="1"/>
  <c r="AP93" i="1"/>
  <c r="AO93" i="1"/>
  <c r="AN93" i="1"/>
  <c r="AM93" i="1"/>
  <c r="AL93" i="1"/>
  <c r="AK93" i="1"/>
  <c r="AP92" i="1"/>
  <c r="AO92" i="1"/>
  <c r="AN92" i="1"/>
  <c r="AM92" i="1"/>
  <c r="AL92" i="1"/>
  <c r="AK92" i="1"/>
  <c r="AP91" i="1"/>
  <c r="AO91" i="1"/>
  <c r="AN91" i="1"/>
  <c r="AM91" i="1"/>
  <c r="AL91" i="1"/>
  <c r="AK91" i="1"/>
  <c r="AP90" i="1"/>
  <c r="AO90" i="1"/>
  <c r="AN90" i="1"/>
  <c r="AM90" i="1"/>
  <c r="AL90" i="1"/>
  <c r="AK90" i="1"/>
  <c r="AP89" i="1"/>
  <c r="AO89" i="1"/>
  <c r="AN89" i="1"/>
  <c r="AM89" i="1"/>
  <c r="AL89" i="1"/>
  <c r="AK89" i="1"/>
  <c r="AP88" i="1"/>
  <c r="AO88" i="1"/>
  <c r="AN88" i="1"/>
  <c r="AM88" i="1"/>
  <c r="AL88" i="1"/>
  <c r="AK88" i="1"/>
  <c r="AP87" i="1"/>
  <c r="AO87" i="1"/>
  <c r="AN87" i="1"/>
  <c r="AM87" i="1"/>
  <c r="AL87" i="1"/>
  <c r="AK87" i="1"/>
  <c r="AP86" i="1"/>
  <c r="AO86" i="1"/>
  <c r="AN86" i="1"/>
  <c r="AM86" i="1"/>
  <c r="AL86" i="1"/>
  <c r="AK86" i="1"/>
  <c r="AP85" i="1"/>
  <c r="AO85" i="1"/>
  <c r="AN85" i="1"/>
  <c r="AM85" i="1"/>
  <c r="AL85" i="1"/>
  <c r="AK85" i="1"/>
  <c r="AP84" i="1"/>
  <c r="AO84" i="1"/>
  <c r="AN84" i="1"/>
  <c r="AM84" i="1"/>
  <c r="AL84" i="1"/>
  <c r="AK84" i="1"/>
  <c r="AP83" i="1"/>
  <c r="AO83" i="1"/>
  <c r="AN83" i="1"/>
  <c r="AM83" i="1"/>
  <c r="AL83" i="1"/>
  <c r="AK83" i="1"/>
  <c r="AP82" i="1"/>
  <c r="AO82" i="1"/>
  <c r="AN82" i="1"/>
  <c r="AM82" i="1"/>
  <c r="AL82" i="1"/>
  <c r="AK82" i="1"/>
  <c r="AP81" i="1"/>
  <c r="AO81" i="1"/>
  <c r="AN81" i="1"/>
  <c r="AM81" i="1"/>
  <c r="AL81" i="1"/>
  <c r="AK81" i="1"/>
  <c r="AP80" i="1"/>
  <c r="AO80" i="1"/>
  <c r="AN80" i="1"/>
  <c r="AM80" i="1"/>
  <c r="AL80" i="1"/>
  <c r="AK80" i="1"/>
  <c r="AP79" i="1"/>
  <c r="AO79" i="1"/>
  <c r="AN79" i="1"/>
  <c r="AM79" i="1"/>
  <c r="AL79" i="1"/>
  <c r="AK79" i="1"/>
  <c r="AP78" i="1"/>
  <c r="AO78" i="1"/>
  <c r="AN78" i="1"/>
  <c r="AM78" i="1"/>
  <c r="AL78" i="1"/>
  <c r="AK78" i="1"/>
  <c r="AP77" i="1"/>
  <c r="AO77" i="1"/>
  <c r="AN77" i="1"/>
  <c r="AM77" i="1"/>
  <c r="AL77" i="1"/>
  <c r="AK77" i="1"/>
  <c r="AP76" i="1"/>
  <c r="AO76" i="1"/>
  <c r="AN76" i="1"/>
  <c r="AM76" i="1"/>
  <c r="AL76" i="1"/>
  <c r="AK76" i="1"/>
  <c r="AP75" i="1"/>
  <c r="AO75" i="1"/>
  <c r="AN75" i="1"/>
  <c r="AM75" i="1"/>
  <c r="AL75" i="1"/>
  <c r="AK75" i="1"/>
  <c r="AP74" i="1"/>
  <c r="AO74" i="1"/>
  <c r="AN74" i="1"/>
  <c r="AM74" i="1"/>
  <c r="AL74" i="1"/>
  <c r="AK74" i="1"/>
  <c r="AP73" i="1"/>
  <c r="AO73" i="1"/>
  <c r="AN73" i="1"/>
  <c r="AM73" i="1"/>
  <c r="AL73" i="1"/>
  <c r="AK73" i="1"/>
  <c r="AP72" i="1"/>
  <c r="AO72" i="1"/>
  <c r="AN72" i="1"/>
  <c r="AM72" i="1"/>
  <c r="AL72" i="1"/>
  <c r="AK72" i="1"/>
  <c r="AP71" i="1"/>
  <c r="AO71" i="1"/>
  <c r="AN71" i="1"/>
  <c r="AM71" i="1"/>
  <c r="AL71" i="1"/>
  <c r="AK71" i="1"/>
  <c r="AP70" i="1"/>
  <c r="AO70" i="1"/>
  <c r="AN70" i="1"/>
  <c r="AM70" i="1"/>
  <c r="AL70" i="1"/>
  <c r="AK70" i="1"/>
  <c r="AP69" i="1"/>
  <c r="AO69" i="1"/>
  <c r="AN69" i="1"/>
  <c r="AM69" i="1"/>
  <c r="AL69" i="1"/>
  <c r="AK69" i="1"/>
  <c r="AP68" i="1"/>
  <c r="AO68" i="1"/>
  <c r="AN68" i="1"/>
  <c r="AM68" i="1"/>
  <c r="AL68" i="1"/>
  <c r="AK68" i="1"/>
  <c r="AP67" i="1"/>
  <c r="AO67" i="1"/>
  <c r="AN67" i="1"/>
  <c r="AM67" i="1"/>
  <c r="AL67" i="1"/>
  <c r="AK67" i="1"/>
  <c r="AP66" i="1"/>
  <c r="AO66" i="1"/>
  <c r="AN66" i="1"/>
  <c r="AM66" i="1"/>
  <c r="AL66" i="1"/>
  <c r="AK66" i="1"/>
  <c r="AP65" i="1"/>
  <c r="AO65" i="1"/>
  <c r="AN65" i="1"/>
  <c r="AM65" i="1"/>
  <c r="AL65" i="1"/>
  <c r="AK65" i="1"/>
  <c r="AP64" i="1"/>
  <c r="AO64" i="1"/>
  <c r="AN64" i="1"/>
  <c r="AM64" i="1"/>
  <c r="AL64" i="1"/>
  <c r="AK64" i="1"/>
  <c r="AP63" i="1"/>
  <c r="AO63" i="1"/>
  <c r="AN63" i="1"/>
  <c r="AM63" i="1"/>
  <c r="AL63" i="1"/>
  <c r="AK63" i="1"/>
  <c r="AP62" i="1"/>
  <c r="AO62" i="1"/>
  <c r="AN62" i="1"/>
  <c r="AM62" i="1"/>
  <c r="AL62" i="1"/>
  <c r="AK62" i="1"/>
  <c r="AP61" i="1"/>
  <c r="AO61" i="1"/>
  <c r="AN61" i="1"/>
  <c r="AM61" i="1"/>
  <c r="AL61" i="1"/>
  <c r="AK61" i="1"/>
  <c r="AP60" i="1"/>
  <c r="AO60" i="1"/>
  <c r="AN60" i="1"/>
  <c r="AM60" i="1"/>
  <c r="AL60" i="1"/>
  <c r="AK60" i="1"/>
  <c r="AP59" i="1"/>
  <c r="AO59" i="1"/>
  <c r="AN59" i="1"/>
  <c r="AM59" i="1"/>
  <c r="AL59" i="1"/>
  <c r="AK59" i="1"/>
  <c r="AP58" i="1"/>
  <c r="AO58" i="1"/>
  <c r="AN58" i="1"/>
  <c r="AM58" i="1"/>
  <c r="AL58" i="1"/>
  <c r="AK58" i="1"/>
  <c r="AP57" i="1"/>
  <c r="AO57" i="1"/>
  <c r="AN57" i="1"/>
  <c r="AM57" i="1"/>
  <c r="AL57" i="1"/>
  <c r="AK57" i="1"/>
  <c r="AP56" i="1"/>
  <c r="AO56" i="1"/>
  <c r="AN56" i="1"/>
  <c r="AM56" i="1"/>
  <c r="AL56" i="1"/>
  <c r="AK56" i="1"/>
  <c r="AP55" i="1"/>
  <c r="AO55" i="1"/>
  <c r="AN55" i="1"/>
  <c r="AM55" i="1"/>
  <c r="AL55" i="1"/>
  <c r="AK55" i="1"/>
  <c r="AP54" i="1"/>
  <c r="AO54" i="1"/>
  <c r="AN54" i="1"/>
  <c r="AM54" i="1"/>
  <c r="AL54" i="1"/>
  <c r="AK54" i="1"/>
  <c r="AP53" i="1"/>
  <c r="AO53" i="1"/>
  <c r="AN53" i="1"/>
  <c r="AM53" i="1"/>
  <c r="AL53" i="1"/>
  <c r="AK53" i="1"/>
  <c r="AP52" i="1"/>
  <c r="AO52" i="1"/>
  <c r="AN52" i="1"/>
  <c r="AM52" i="1"/>
  <c r="AL52" i="1"/>
  <c r="AK52" i="1"/>
  <c r="AP51" i="1"/>
  <c r="AO51" i="1"/>
  <c r="AN51" i="1"/>
  <c r="AM51" i="1"/>
  <c r="AL51" i="1"/>
  <c r="AK51" i="1"/>
  <c r="AP50" i="1"/>
  <c r="AO50" i="1"/>
  <c r="AN50" i="1"/>
  <c r="AM50" i="1"/>
  <c r="AL50" i="1"/>
  <c r="AK50" i="1"/>
  <c r="AP49" i="1"/>
  <c r="AO49" i="1"/>
  <c r="AN49" i="1"/>
  <c r="AM49" i="1"/>
  <c r="AL49" i="1"/>
  <c r="AK49" i="1"/>
  <c r="AP48" i="1"/>
  <c r="AO48" i="1"/>
  <c r="AN48" i="1"/>
  <c r="AM48" i="1"/>
  <c r="AL48" i="1"/>
  <c r="AK48" i="1"/>
  <c r="AP47" i="1"/>
  <c r="AO47" i="1"/>
  <c r="AN47" i="1"/>
  <c r="AM47" i="1"/>
  <c r="AL47" i="1"/>
  <c r="AK47" i="1"/>
  <c r="AP46" i="1"/>
  <c r="AO46" i="1"/>
  <c r="AN46" i="1"/>
  <c r="AM46" i="1"/>
  <c r="AL46" i="1"/>
  <c r="AK46" i="1"/>
  <c r="AP45" i="1"/>
  <c r="AO45" i="1"/>
  <c r="AN45" i="1"/>
  <c r="AM45" i="1"/>
  <c r="AL45" i="1"/>
  <c r="AK45" i="1"/>
  <c r="AP44" i="1"/>
  <c r="AO44" i="1"/>
  <c r="AN44" i="1"/>
  <c r="AM44" i="1"/>
  <c r="AL44" i="1"/>
  <c r="AK44" i="1"/>
  <c r="AP43" i="1"/>
  <c r="AO43" i="1"/>
  <c r="AN43" i="1"/>
  <c r="AM43" i="1"/>
  <c r="AL43" i="1"/>
  <c r="AK43" i="1"/>
  <c r="AP42" i="1"/>
  <c r="AO42" i="1"/>
  <c r="AN42" i="1"/>
  <c r="AM42" i="1"/>
  <c r="AL42" i="1"/>
  <c r="AK42" i="1"/>
  <c r="AP41" i="1"/>
  <c r="AO41" i="1"/>
  <c r="AN41" i="1"/>
  <c r="AM41" i="1"/>
  <c r="AL41" i="1"/>
  <c r="AK41" i="1"/>
  <c r="AP40" i="1"/>
  <c r="AO40" i="1"/>
  <c r="AN40" i="1"/>
  <c r="AM40" i="1"/>
  <c r="AL40" i="1"/>
  <c r="AK40" i="1"/>
  <c r="AP39" i="1"/>
  <c r="AO39" i="1"/>
  <c r="AN39" i="1"/>
  <c r="AM39" i="1"/>
  <c r="AL39" i="1"/>
  <c r="AK39" i="1"/>
  <c r="AP38" i="1"/>
  <c r="AO38" i="1"/>
  <c r="AN38" i="1"/>
  <c r="AM38" i="1"/>
  <c r="AL38" i="1"/>
  <c r="AK38" i="1"/>
  <c r="AP37" i="1"/>
  <c r="AO37" i="1"/>
  <c r="AN37" i="1"/>
  <c r="AM37" i="1"/>
  <c r="AL37" i="1"/>
  <c r="AK37" i="1"/>
  <c r="AP36" i="1"/>
  <c r="AO36" i="1"/>
  <c r="AN36" i="1"/>
  <c r="AM36" i="1"/>
  <c r="AL36" i="1"/>
  <c r="AK36" i="1"/>
  <c r="AP35" i="1"/>
  <c r="AO35" i="1"/>
  <c r="AN35" i="1"/>
  <c r="AM35" i="1"/>
  <c r="AL35" i="1"/>
  <c r="AK35" i="1"/>
  <c r="AP34" i="1"/>
  <c r="AO34" i="1"/>
  <c r="AN34" i="1"/>
  <c r="AM34" i="1"/>
  <c r="AL34" i="1"/>
  <c r="AK34" i="1"/>
  <c r="AP33" i="1"/>
  <c r="AO33" i="1"/>
  <c r="AN33" i="1"/>
  <c r="AM33" i="1"/>
  <c r="AL33" i="1"/>
  <c r="AK33" i="1"/>
  <c r="AP32" i="1"/>
  <c r="AO32" i="1"/>
  <c r="AN32" i="1"/>
  <c r="AM32" i="1"/>
  <c r="AL32" i="1"/>
  <c r="AK32" i="1"/>
  <c r="AP31" i="1"/>
  <c r="AO31" i="1"/>
  <c r="AN31" i="1"/>
  <c r="AM31" i="1"/>
  <c r="AL31" i="1"/>
  <c r="AK31" i="1"/>
  <c r="AP30" i="1"/>
  <c r="AO30" i="1"/>
  <c r="AN30" i="1"/>
  <c r="AM30" i="1"/>
  <c r="AL30" i="1"/>
  <c r="AK30" i="1"/>
  <c r="AP29" i="1"/>
  <c r="AO29" i="1"/>
  <c r="AN29" i="1"/>
  <c r="AM29" i="1"/>
  <c r="AL29" i="1"/>
  <c r="AK29" i="1"/>
  <c r="AP28" i="1"/>
  <c r="AO28" i="1"/>
  <c r="AN28" i="1"/>
  <c r="AM28" i="1"/>
  <c r="AL28" i="1"/>
  <c r="AK28" i="1"/>
  <c r="AP27" i="1"/>
  <c r="AO27" i="1"/>
  <c r="AN27" i="1"/>
  <c r="AM27" i="1"/>
  <c r="AL27" i="1"/>
  <c r="AK27" i="1"/>
  <c r="AP26" i="1"/>
  <c r="AO26" i="1"/>
  <c r="AN26" i="1"/>
  <c r="AM26" i="1"/>
  <c r="AL26" i="1"/>
  <c r="AK26" i="1"/>
  <c r="AP25" i="1"/>
  <c r="AO25" i="1"/>
  <c r="AN25" i="1"/>
  <c r="AM25" i="1"/>
  <c r="AL25" i="1"/>
  <c r="AK25" i="1"/>
  <c r="AP24" i="1"/>
  <c r="AO24" i="1"/>
  <c r="AN24" i="1"/>
  <c r="AM24" i="1"/>
  <c r="AL24" i="1"/>
  <c r="AK24" i="1"/>
  <c r="AP23" i="1"/>
  <c r="AO23" i="1"/>
  <c r="AN23" i="1"/>
  <c r="AM23" i="1"/>
  <c r="AL23" i="1"/>
  <c r="AK23" i="1"/>
  <c r="AP22" i="1"/>
  <c r="AO22" i="1"/>
  <c r="AN22" i="1"/>
  <c r="AM22" i="1"/>
  <c r="AL22" i="1"/>
  <c r="AK22" i="1"/>
  <c r="AP21" i="1"/>
  <c r="AO21" i="1"/>
  <c r="AN21" i="1"/>
  <c r="AM21" i="1"/>
  <c r="AL21" i="1"/>
  <c r="AK21" i="1"/>
  <c r="AP20" i="1"/>
  <c r="AO20" i="1"/>
  <c r="AN20" i="1"/>
  <c r="AM20" i="1"/>
  <c r="AL20" i="1"/>
  <c r="AK20" i="1"/>
  <c r="AP19" i="1"/>
  <c r="AO19" i="1"/>
  <c r="AN19" i="1"/>
  <c r="AM19" i="1"/>
  <c r="AL19" i="1"/>
  <c r="AK19" i="1"/>
  <c r="AP18" i="1"/>
  <c r="AO18" i="1"/>
  <c r="AN18" i="1"/>
  <c r="AM18" i="1"/>
  <c r="AL18" i="1"/>
  <c r="AK18" i="1"/>
  <c r="AP17" i="1"/>
  <c r="AO17" i="1"/>
  <c r="AN17" i="1"/>
  <c r="AM17" i="1"/>
  <c r="AL17" i="1"/>
  <c r="AK17" i="1"/>
  <c r="AP16" i="1"/>
  <c r="AO16" i="1"/>
  <c r="AN16" i="1"/>
  <c r="AM16" i="1"/>
  <c r="AL16" i="1"/>
  <c r="AK16" i="1"/>
  <c r="AP15" i="1"/>
  <c r="AO15" i="1"/>
  <c r="AN15" i="1"/>
  <c r="AM15" i="1"/>
  <c r="AL15" i="1"/>
  <c r="AK15" i="1"/>
  <c r="AP14" i="1"/>
  <c r="AO14" i="1"/>
  <c r="AN14" i="1"/>
  <c r="AM14" i="1"/>
  <c r="AL14" i="1"/>
  <c r="AK14" i="1"/>
  <c r="AP13" i="1"/>
  <c r="AO13" i="1"/>
  <c r="AN13" i="1"/>
  <c r="AM13" i="1"/>
  <c r="AL13" i="1"/>
  <c r="AK13" i="1"/>
  <c r="AP12" i="1"/>
  <c r="AO12" i="1"/>
  <c r="AN12" i="1"/>
  <c r="AM12" i="1"/>
  <c r="AL12" i="1"/>
  <c r="AK12" i="1"/>
  <c r="AP11" i="1"/>
  <c r="AO11" i="1"/>
  <c r="AN11" i="1"/>
  <c r="AM11" i="1"/>
  <c r="AL11" i="1"/>
  <c r="AK11" i="1"/>
  <c r="AP10" i="1"/>
  <c r="AO10" i="1"/>
  <c r="AN10" i="1"/>
  <c r="AM10" i="1"/>
  <c r="AL10" i="1"/>
  <c r="AK10" i="1"/>
  <c r="AP9" i="1"/>
  <c r="AO9" i="1"/>
  <c r="AN9" i="1"/>
  <c r="AM9" i="1"/>
  <c r="AL9" i="1"/>
  <c r="AK9" i="1"/>
  <c r="AP8" i="1"/>
  <c r="AO8" i="1"/>
  <c r="AN8" i="1"/>
  <c r="AM8" i="1"/>
  <c r="AL8" i="1"/>
  <c r="AK8" i="1"/>
  <c r="AP7" i="1"/>
  <c r="AO7" i="1"/>
  <c r="AN7" i="1"/>
  <c r="AM7" i="1"/>
  <c r="AL7" i="1"/>
  <c r="AK7" i="1"/>
  <c r="AP6" i="1"/>
  <c r="AO6" i="1"/>
  <c r="AN6" i="1"/>
  <c r="AM6" i="1"/>
  <c r="AL6" i="1"/>
  <c r="AK6" i="1"/>
  <c r="AP5" i="1"/>
  <c r="AO5" i="1"/>
  <c r="AN5" i="1"/>
  <c r="AM5" i="1"/>
  <c r="AL5" i="1"/>
  <c r="AK5" i="1"/>
  <c r="AP4" i="1"/>
  <c r="AO4" i="1"/>
  <c r="AN4" i="1"/>
  <c r="AM4" i="1"/>
  <c r="AL4" i="1"/>
  <c r="AK4" i="1"/>
  <c r="AP3" i="1"/>
  <c r="AO3" i="1"/>
  <c r="AN3" i="1"/>
  <c r="AM3" i="1"/>
  <c r="AL3" i="1"/>
  <c r="AK3" i="1"/>
  <c r="AP2" i="1"/>
  <c r="AO2" i="1"/>
  <c r="AN2" i="1"/>
  <c r="AM2" i="1"/>
  <c r="AL2" i="1"/>
  <c r="AK2" i="1"/>
</calcChain>
</file>

<file path=xl/sharedStrings.xml><?xml version="1.0" encoding="utf-8"?>
<sst xmlns="http://schemas.openxmlformats.org/spreadsheetml/2006/main" count="44" uniqueCount="44">
  <si>
    <t>Bi</t>
  </si>
  <si>
    <t>Na</t>
  </si>
  <si>
    <t>K</t>
  </si>
  <si>
    <t>Ca</t>
  </si>
  <si>
    <t>Sr</t>
  </si>
  <si>
    <t>Rb</t>
  </si>
  <si>
    <t>Eu</t>
  </si>
  <si>
    <t>Ba</t>
  </si>
  <si>
    <t>La</t>
  </si>
  <si>
    <t>Ti</t>
  </si>
  <si>
    <t>Zr</t>
  </si>
  <si>
    <t>Sn</t>
  </si>
  <si>
    <t>Ta</t>
  </si>
  <si>
    <t>Nd</t>
  </si>
  <si>
    <t>Al</t>
  </si>
  <si>
    <t>Nb</t>
  </si>
  <si>
    <t>Mg</t>
  </si>
  <si>
    <t>Hf</t>
  </si>
  <si>
    <t>Li</t>
  </si>
  <si>
    <t>Fe</t>
  </si>
  <si>
    <t>Ag</t>
  </si>
  <si>
    <t>Sc</t>
  </si>
  <si>
    <t>Sb</t>
  </si>
  <si>
    <t>Sm</t>
  </si>
  <si>
    <t>PA</t>
  </si>
  <si>
    <t>PB</t>
  </si>
  <si>
    <t>ENA</t>
  </si>
  <si>
    <t>ENB</t>
  </si>
  <si>
    <t>VA</t>
  </si>
  <si>
    <t>VB</t>
  </si>
  <si>
    <t>CRSA</t>
  </si>
  <si>
    <t>CRSB</t>
  </si>
  <si>
    <t>IEA</t>
  </si>
  <si>
    <t>IEB</t>
  </si>
  <si>
    <t>ATWT</t>
  </si>
  <si>
    <t>ATNO</t>
  </si>
  <si>
    <t>RdveA</t>
  </si>
  <si>
    <t>RdveB</t>
  </si>
  <si>
    <t>IE2A</t>
  </si>
  <si>
    <t>IE2B</t>
  </si>
  <si>
    <t>SRA</t>
  </si>
  <si>
    <t>SRB</t>
  </si>
  <si>
    <t>Eb (kV/cm)</t>
  </si>
  <si>
    <t>Wrec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</si>
</sst>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00FF00"/>
      <name val="Arial"/>
      <family val="2"/>
    </font>
    <font>
      <sz val="10"/>
      <color rgb="FFFF0000"/>
      <name val="Arial"/>
      <family val="2"/>
    </font>
    <font>
      <sz val="10"/>
      <color rgb="FFFF9900"/>
      <name val="Arial"/>
      <family val="2"/>
    </font>
    <font>
      <sz val="12"/>
      <color rgb="FF222222"/>
      <name val="Merriweather Sans"/>
    </font>
    <font>
      <sz val="12"/>
      <color rgb="FF222222"/>
      <name val="-apple-system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8" fillId="2" borderId="1" xfId="0" applyFont="1" applyFill="1" applyBorder="1" applyAlignment="1">
      <alignment horizontal="right" wrapText="1"/>
    </xf>
    <xf numFmtId="0" fontId="9" fillId="2" borderId="1" xfId="0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4"/>
  <sheetViews>
    <sheetView tabSelected="1" workbookViewId="0">
      <selection sqref="A1:AR174"/>
    </sheetView>
  </sheetViews>
  <sheetFormatPr defaultRowHeight="15"/>
  <cols>
    <col min="1" max="1" width="4.85546875" customWidth="1"/>
    <col min="2" max="2" width="4.7109375" customWidth="1"/>
    <col min="3" max="3" width="4" customWidth="1"/>
    <col min="4" max="4" width="5.42578125" customWidth="1"/>
    <col min="5" max="5" width="4.42578125" customWidth="1"/>
    <col min="6" max="6" width="5.5703125" customWidth="1"/>
  </cols>
  <sheetData>
    <row r="1" spans="1:44" ht="2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75" thickBot="1">
      <c r="A2" s="3">
        <v>0.32500000000000001</v>
      </c>
      <c r="B2" s="3">
        <v>0.32500000000000001</v>
      </c>
      <c r="C2" s="3">
        <v>0</v>
      </c>
      <c r="D2" s="3">
        <v>0</v>
      </c>
      <c r="E2" s="3">
        <v>0.35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4">
        <v>0</v>
      </c>
      <c r="Y2" s="3">
        <v>19.900749999999999</v>
      </c>
      <c r="Z2" s="3">
        <v>14.6</v>
      </c>
      <c r="AA2" s="3">
        <v>1.38025</v>
      </c>
      <c r="AB2" s="3">
        <v>1.86</v>
      </c>
      <c r="AC2" s="3">
        <v>26.533249999999999</v>
      </c>
      <c r="AD2" s="3">
        <v>10.64</v>
      </c>
      <c r="AE2" s="3">
        <v>2.633775</v>
      </c>
      <c r="AF2" s="3">
        <v>2.58</v>
      </c>
      <c r="AG2" s="3">
        <v>6.0279999999999996</v>
      </c>
      <c r="AH2" s="3">
        <v>6.83</v>
      </c>
      <c r="AI2" s="3">
        <v>154.102</v>
      </c>
      <c r="AJ2" s="3">
        <v>65.849999999999994</v>
      </c>
      <c r="AK2" s="3">
        <f>A2*2.25+B2*3.73+C2*4.6+D2*2.7+E2*2.92+F2*4.9+G2*2.29+H2*3.35+I2*2.42+S2*3.06+U2*2.9+X2*2.33</f>
        <v>2.9655000000000005</v>
      </c>
      <c r="AL2" s="3">
        <f>J2*1.81+K2*1.96+L2*2.3+M2*1.7+N2*2.37+O2*2.01+P2*1.75+Q2*2.3+R2*1.88+T2*1.16+V2*2.21+W2*2.15</f>
        <v>1.81</v>
      </c>
      <c r="AM2" s="3">
        <f>A2*16.7+B2*47.286+C2*31.63+D2*11.87+E2*11.03+F2*27.29+G2*11.25+H2*10+I2*11.06+S2*75.64+U2*21.5+X2*11.07</f>
        <v>24.655950000000001</v>
      </c>
      <c r="AN2" s="3">
        <f>J2*13.57+13.1*K2+L2*14.63+M2*16.17+N2*10.72+O2*18.83+P2*14+Q2*15.03+R2*15+T2*16.19+V2*12.8+W2*16.63</f>
        <v>13.57</v>
      </c>
      <c r="AO2" s="3">
        <f>A2*1.35+B2*1.39+C2*1.64+D2*1.34+E2*1.44+F2*1.72+G2*0.95+H2*1.61+I2*1.36+S2*1.19+U2*1.43+X2*0.96</f>
        <v>1.3945000000000001</v>
      </c>
      <c r="AP2" s="3">
        <f>J2*0.61+K2*0.72+L2*0.69+M2*0.68+N2*0.98+O2*0.54+P2*0.68+Q2*0.72+R2*0.71+T2*0.65+V2*0.75+W2*0.6</f>
        <v>0.61</v>
      </c>
      <c r="AQ2" s="3">
        <v>90</v>
      </c>
      <c r="AR2" s="3">
        <v>0.95</v>
      </c>
    </row>
    <row r="3" spans="1:44" ht="15.75" thickBot="1">
      <c r="A3" s="3">
        <v>0.38</v>
      </c>
      <c r="B3" s="3">
        <v>0.3</v>
      </c>
      <c r="C3" s="3">
        <v>0</v>
      </c>
      <c r="D3" s="3">
        <v>0</v>
      </c>
      <c r="E3" s="3">
        <v>0.28000000000000003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4">
        <v>0</v>
      </c>
      <c r="Y3" s="3">
        <v>17.773</v>
      </c>
      <c r="Z3" s="3">
        <v>14.6</v>
      </c>
      <c r="AA3" s="3">
        <v>1.3966000000000001</v>
      </c>
      <c r="AB3" s="3">
        <v>1.86</v>
      </c>
      <c r="AC3" s="3">
        <v>24.734999999999999</v>
      </c>
      <c r="AD3" s="3">
        <v>10.64</v>
      </c>
      <c r="AE3" s="3">
        <v>2.4526599999999998</v>
      </c>
      <c r="AF3" s="3">
        <v>2.58</v>
      </c>
      <c r="AG3" s="3">
        <v>5.9016000000000002</v>
      </c>
      <c r="AH3" s="3">
        <v>6.83</v>
      </c>
      <c r="AI3" s="3">
        <v>158.86840000000001</v>
      </c>
      <c r="AJ3" s="3">
        <v>67.48</v>
      </c>
      <c r="AK3" s="3">
        <f t="shared" ref="AK3:AK66" si="0">A3*2.25+B3*3.73+C3*4.6+D3*2.7+E3*2.92+F3*4.9+G3*2.29+H3*3.35+I3*2.42+S3*3.06+U3*2.9+X3*2.33</f>
        <v>2.7915999999999999</v>
      </c>
      <c r="AL3" s="3">
        <f t="shared" ref="AL3:AL66" si="1">J3*1.81+K3*1.96+L3*2.3+M3*1.7+N3*2.37+O3*2.01+P3*1.75+Q3*2.3+R3*1.88+T3*1.16+V3*2.21+W3*2.15</f>
        <v>1.81</v>
      </c>
      <c r="AM3" s="3">
        <f t="shared" ref="AM3:AM66" si="2">A3*16.7+B3*47.286+C3*31.63+D3*11.87+E3*11.03+F3*27.29+G3*11.25+H3*10+I3*11.06+S3*75.64+U3*21.5+X3*11.07</f>
        <v>23.620200000000001</v>
      </c>
      <c r="AN3" s="3">
        <f t="shared" ref="AN3:AN66" si="3">J3*13.57+13.1*K3+L3*14.63+M3*16.17+N3*10.72+O3*18.83+P3*14+Q3*15.03+R3*15+T3*16.19+V3*12.8+W3*16.63</f>
        <v>13.57</v>
      </c>
      <c r="AO3" s="3">
        <f t="shared" ref="AO3:AO66" si="4">A3*1.35+B3*1.39+C3*1.64+D3*1.34+E3*1.44+F3*1.72+G3*0.95+H3*1.61+I3*1.36+S3*1.19+U3*1.43+X3*0.96</f>
        <v>1.3331999999999999</v>
      </c>
      <c r="AP3" s="3">
        <f t="shared" ref="AP3:AP66" si="5">J3*0.61+K3*0.72+L3*0.69+M3*0.68+N3*0.98+O3*0.54+P3*0.68+Q3*0.72+R3*0.71+T3*0.65+V3*0.75+W3*0.6</f>
        <v>0.61</v>
      </c>
      <c r="AQ3" s="3">
        <v>160</v>
      </c>
      <c r="AR3" s="3">
        <v>2.2000000000000002</v>
      </c>
    </row>
    <row r="4" spans="1:44" ht="15.75" thickBot="1">
      <c r="A4" s="3">
        <v>0.4</v>
      </c>
      <c r="B4" s="3">
        <v>0.375</v>
      </c>
      <c r="C4" s="3">
        <v>0</v>
      </c>
      <c r="D4" s="3">
        <v>0</v>
      </c>
      <c r="E4" s="3">
        <v>0.2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4">
        <v>0</v>
      </c>
      <c r="Y4" s="3">
        <v>17.521249999999998</v>
      </c>
      <c r="Z4" s="3">
        <v>14.6</v>
      </c>
      <c r="AA4" s="3">
        <v>1.4157500000000001</v>
      </c>
      <c r="AB4" s="3">
        <v>1.86</v>
      </c>
      <c r="AC4" s="3">
        <v>24.229500000000002</v>
      </c>
      <c r="AD4" s="3">
        <v>10.64</v>
      </c>
      <c r="AE4" s="3">
        <v>2.4345500000000002</v>
      </c>
      <c r="AF4" s="3">
        <v>2.58</v>
      </c>
      <c r="AG4" s="3">
        <v>5.9775</v>
      </c>
      <c r="AH4" s="3">
        <v>6.83</v>
      </c>
      <c r="AI4" s="3">
        <v>157.73949999999999</v>
      </c>
      <c r="AJ4" s="3">
        <v>66.924999999999997</v>
      </c>
      <c r="AK4" s="3">
        <f t="shared" si="0"/>
        <v>2.8827500000000001</v>
      </c>
      <c r="AL4" s="3">
        <f t="shared" si="1"/>
        <v>1.81</v>
      </c>
      <c r="AM4" s="3">
        <f t="shared" si="2"/>
        <v>26.61825</v>
      </c>
      <c r="AN4" s="3">
        <f t="shared" si="3"/>
        <v>13.57</v>
      </c>
      <c r="AO4" s="3">
        <f t="shared" si="4"/>
        <v>1.3492500000000001</v>
      </c>
      <c r="AP4" s="3">
        <f t="shared" si="5"/>
        <v>0.61</v>
      </c>
      <c r="AQ4" s="5">
        <v>40</v>
      </c>
      <c r="AR4" s="3">
        <v>0.17599999999999999</v>
      </c>
    </row>
    <row r="5" spans="1:44" ht="15.75" thickBot="1">
      <c r="A5" s="3">
        <v>0.38</v>
      </c>
      <c r="B5" s="3">
        <v>0.35</v>
      </c>
      <c r="C5" s="3">
        <v>0</v>
      </c>
      <c r="D5" s="3">
        <v>0</v>
      </c>
      <c r="E5" s="3">
        <v>0.24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4">
        <v>0</v>
      </c>
      <c r="Y5" s="3">
        <v>17.874500000000001</v>
      </c>
      <c r="Z5" s="3">
        <v>14.6</v>
      </c>
      <c r="AA5" s="3">
        <v>1.3958999999999999</v>
      </c>
      <c r="AB5" s="3">
        <v>1.86</v>
      </c>
      <c r="AC5" s="3">
        <v>24.566400000000002</v>
      </c>
      <c r="AD5" s="3">
        <v>10.64</v>
      </c>
      <c r="AE5" s="3">
        <v>2.4567600000000001</v>
      </c>
      <c r="AF5" s="3">
        <v>2.58</v>
      </c>
      <c r="AG5" s="3">
        <v>5.931</v>
      </c>
      <c r="AH5" s="3">
        <v>6.83</v>
      </c>
      <c r="AI5" s="3">
        <v>156.50139999999999</v>
      </c>
      <c r="AJ5" s="3">
        <v>66.510000000000005</v>
      </c>
      <c r="AK5" s="3">
        <f t="shared" si="0"/>
        <v>2.8613</v>
      </c>
      <c r="AL5" s="3">
        <f t="shared" si="1"/>
        <v>1.81</v>
      </c>
      <c r="AM5" s="3">
        <f t="shared" si="2"/>
        <v>25.543300000000002</v>
      </c>
      <c r="AN5" s="3">
        <f t="shared" si="3"/>
        <v>13.57</v>
      </c>
      <c r="AO5" s="3">
        <f t="shared" si="4"/>
        <v>1.3451</v>
      </c>
      <c r="AP5" s="3">
        <f t="shared" si="5"/>
        <v>0.61</v>
      </c>
      <c r="AQ5" s="5">
        <v>70</v>
      </c>
      <c r="AR5" s="3">
        <v>1.07</v>
      </c>
    </row>
    <row r="6" spans="1:44" ht="15.75" thickBot="1">
      <c r="A6" s="3">
        <v>0.36</v>
      </c>
      <c r="B6" s="3">
        <v>0.32500000000000001</v>
      </c>
      <c r="C6" s="3">
        <v>0</v>
      </c>
      <c r="D6" s="3">
        <v>0</v>
      </c>
      <c r="E6" s="3">
        <v>0.28000000000000003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4">
        <v>0</v>
      </c>
      <c r="Y6" s="3">
        <v>18.22775</v>
      </c>
      <c r="Z6" s="3">
        <v>14.6</v>
      </c>
      <c r="AA6" s="3">
        <v>1.37605</v>
      </c>
      <c r="AB6" s="3">
        <v>1.86</v>
      </c>
      <c r="AC6" s="3">
        <v>24.903300000000002</v>
      </c>
      <c r="AD6" s="3">
        <v>10.64</v>
      </c>
      <c r="AE6" s="3">
        <v>2.4789699999999999</v>
      </c>
      <c r="AF6" s="3">
        <v>2.58</v>
      </c>
      <c r="AG6" s="3">
        <v>5.8845000000000001</v>
      </c>
      <c r="AH6" s="3">
        <v>6.83</v>
      </c>
      <c r="AI6" s="3">
        <v>155.26329999999999</v>
      </c>
      <c r="AJ6" s="3">
        <v>66.094999999999999</v>
      </c>
      <c r="AK6" s="3">
        <f t="shared" si="0"/>
        <v>2.8398500000000002</v>
      </c>
      <c r="AL6" s="3">
        <f t="shared" si="1"/>
        <v>1.81</v>
      </c>
      <c r="AM6" s="3">
        <f t="shared" si="2"/>
        <v>24.468350000000001</v>
      </c>
      <c r="AN6" s="3">
        <f t="shared" si="3"/>
        <v>13.57</v>
      </c>
      <c r="AO6" s="3">
        <f t="shared" si="4"/>
        <v>1.3409499999999999</v>
      </c>
      <c r="AP6" s="3">
        <f t="shared" si="5"/>
        <v>0.61</v>
      </c>
      <c r="AQ6" s="5">
        <v>85</v>
      </c>
      <c r="AR6" s="3">
        <v>1.5</v>
      </c>
    </row>
    <row r="7" spans="1:44" ht="15.75" thickBot="1">
      <c r="A7" s="3">
        <v>0.34</v>
      </c>
      <c r="B7" s="3">
        <v>0.3</v>
      </c>
      <c r="C7" s="3">
        <v>0</v>
      </c>
      <c r="D7" s="3">
        <v>0</v>
      </c>
      <c r="E7" s="3">
        <v>0.32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4">
        <v>0</v>
      </c>
      <c r="Y7" s="3">
        <v>18.581</v>
      </c>
      <c r="Z7" s="3">
        <v>14.6</v>
      </c>
      <c r="AA7" s="3">
        <v>1.3562000000000001</v>
      </c>
      <c r="AB7" s="3">
        <v>1.86</v>
      </c>
      <c r="AC7" s="3">
        <v>25.240200000000002</v>
      </c>
      <c r="AD7" s="3">
        <v>10.64</v>
      </c>
      <c r="AE7" s="3">
        <v>2.5011800000000002</v>
      </c>
      <c r="AF7" s="3">
        <v>2.58</v>
      </c>
      <c r="AG7" s="3">
        <v>5.8380000000000001</v>
      </c>
      <c r="AH7" s="3">
        <v>6.83</v>
      </c>
      <c r="AI7" s="3">
        <v>154.02520000000001</v>
      </c>
      <c r="AJ7" s="3">
        <v>65.680000000000007</v>
      </c>
      <c r="AK7" s="3">
        <f t="shared" si="0"/>
        <v>2.8184</v>
      </c>
      <c r="AL7" s="3">
        <f t="shared" si="1"/>
        <v>1.81</v>
      </c>
      <c r="AM7" s="3">
        <f t="shared" si="2"/>
        <v>23.3934</v>
      </c>
      <c r="AN7" s="3">
        <f t="shared" si="3"/>
        <v>13.57</v>
      </c>
      <c r="AO7" s="3">
        <f t="shared" si="4"/>
        <v>1.3368000000000002</v>
      </c>
      <c r="AP7" s="3">
        <f t="shared" si="5"/>
        <v>0.61</v>
      </c>
      <c r="AQ7" s="5">
        <v>80</v>
      </c>
      <c r="AR7" s="3">
        <v>1.35</v>
      </c>
    </row>
    <row r="8" spans="1:44" ht="15.75" thickBot="1">
      <c r="A8" s="3">
        <v>0.32</v>
      </c>
      <c r="B8" s="3">
        <v>0.27500000000000002</v>
      </c>
      <c r="C8" s="3">
        <v>0</v>
      </c>
      <c r="D8" s="3">
        <v>0</v>
      </c>
      <c r="E8" s="3">
        <v>0.36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4">
        <v>0</v>
      </c>
      <c r="Y8" s="3">
        <v>18.934249999999999</v>
      </c>
      <c r="Z8" s="3">
        <v>14.6</v>
      </c>
      <c r="AA8" s="3">
        <v>1.3363499999999999</v>
      </c>
      <c r="AB8" s="3">
        <v>1.86</v>
      </c>
      <c r="AC8" s="3">
        <v>25.577100000000002</v>
      </c>
      <c r="AD8" s="3">
        <v>10.64</v>
      </c>
      <c r="AE8" s="3">
        <v>2.52339</v>
      </c>
      <c r="AF8" s="3">
        <v>2.58</v>
      </c>
      <c r="AG8" s="3">
        <v>5.7915000000000001</v>
      </c>
      <c r="AH8" s="3">
        <v>6.83</v>
      </c>
      <c r="AI8" s="3">
        <v>152.78710000000001</v>
      </c>
      <c r="AJ8" s="3">
        <v>65.265000000000001</v>
      </c>
      <c r="AK8" s="3">
        <f t="shared" si="0"/>
        <v>2.7969499999999998</v>
      </c>
      <c r="AL8" s="3">
        <f t="shared" si="1"/>
        <v>1.81</v>
      </c>
      <c r="AM8" s="3">
        <f t="shared" si="2"/>
        <v>22.318450000000002</v>
      </c>
      <c r="AN8" s="3">
        <f t="shared" si="3"/>
        <v>13.57</v>
      </c>
      <c r="AO8" s="3">
        <f t="shared" si="4"/>
        <v>1.3326500000000001</v>
      </c>
      <c r="AP8" s="3">
        <f t="shared" si="5"/>
        <v>0.61</v>
      </c>
      <c r="AQ8" s="5">
        <v>80</v>
      </c>
      <c r="AR8" s="3">
        <v>1.2</v>
      </c>
    </row>
    <row r="9" spans="1:44" ht="15.75" thickBot="1">
      <c r="A9" s="3">
        <v>0.45079999999999998</v>
      </c>
      <c r="B9" s="3">
        <v>0.46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0.08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9.1999999999999998E-3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4">
        <v>0</v>
      </c>
      <c r="Y9" s="3">
        <v>17.602519999999998</v>
      </c>
      <c r="Z9" s="3">
        <v>14.88888</v>
      </c>
      <c r="AA9" s="3">
        <v>1.460512</v>
      </c>
      <c r="AB9" s="3">
        <v>1.87104</v>
      </c>
      <c r="AC9" s="3">
        <v>23.598147999999998</v>
      </c>
      <c r="AD9" s="3">
        <v>10.829336</v>
      </c>
      <c r="AE9" s="3">
        <v>2.3914076</v>
      </c>
      <c r="AF9" s="3">
        <v>2.616708</v>
      </c>
      <c r="AG9" s="3">
        <v>6.0630240000000004</v>
      </c>
      <c r="AH9" s="3">
        <v>6.8807840000000002</v>
      </c>
      <c r="AI9" s="3">
        <v>165.066464</v>
      </c>
      <c r="AJ9" s="3">
        <v>69.508399999999995</v>
      </c>
      <c r="AK9" s="3">
        <f t="shared" si="0"/>
        <v>2.9981</v>
      </c>
      <c r="AL9" s="3">
        <f t="shared" si="1"/>
        <v>1.831804</v>
      </c>
      <c r="AM9" s="3">
        <f t="shared" si="2"/>
        <v>30.079920000000001</v>
      </c>
      <c r="AN9" s="3">
        <f t="shared" si="3"/>
        <v>13.668623999999999</v>
      </c>
      <c r="AO9" s="3">
        <f t="shared" si="4"/>
        <v>1.3767800000000001</v>
      </c>
      <c r="AP9" s="3">
        <f t="shared" si="5"/>
        <v>0.61901600000000001</v>
      </c>
      <c r="AQ9" s="3">
        <v>73</v>
      </c>
      <c r="AR9" s="3">
        <v>1.53</v>
      </c>
    </row>
    <row r="10" spans="1:44" ht="15.75" thickBot="1">
      <c r="A10" s="3">
        <v>0.44650000000000001</v>
      </c>
      <c r="B10" s="3">
        <v>0.44650000000000001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5.7000000000000002E-2</v>
      </c>
      <c r="I10" s="3">
        <v>0.05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4">
        <v>0</v>
      </c>
      <c r="Y10" s="3">
        <v>17.887115000000001</v>
      </c>
      <c r="Z10" s="3">
        <v>14.6</v>
      </c>
      <c r="AA10" s="3">
        <v>1.4819549999999999</v>
      </c>
      <c r="AB10" s="3">
        <v>1.86</v>
      </c>
      <c r="AC10" s="3">
        <v>23.427305</v>
      </c>
      <c r="AD10" s="3">
        <v>10.64</v>
      </c>
      <c r="AE10" s="3">
        <v>2.4227995</v>
      </c>
      <c r="AF10" s="3">
        <v>2.58</v>
      </c>
      <c r="AG10" s="3">
        <v>6.1210000000000004</v>
      </c>
      <c r="AH10" s="3">
        <v>6.83</v>
      </c>
      <c r="AI10" s="3">
        <v>166.32543999999999</v>
      </c>
      <c r="AJ10" s="3">
        <v>70.013000000000005</v>
      </c>
      <c r="AK10" s="3">
        <f t="shared" si="0"/>
        <v>2.9820199999999999</v>
      </c>
      <c r="AL10" s="3">
        <f t="shared" si="1"/>
        <v>1.81</v>
      </c>
      <c r="AM10" s="3">
        <f t="shared" si="2"/>
        <v>29.692749000000003</v>
      </c>
      <c r="AN10" s="3">
        <f t="shared" si="3"/>
        <v>13.57</v>
      </c>
      <c r="AO10" s="3">
        <f t="shared" si="4"/>
        <v>1.3831799999999999</v>
      </c>
      <c r="AP10" s="3">
        <f t="shared" si="5"/>
        <v>0.61</v>
      </c>
      <c r="AQ10" s="3">
        <v>105</v>
      </c>
      <c r="AR10" s="3">
        <v>1.66</v>
      </c>
    </row>
    <row r="11" spans="1:44" ht="15.75" thickBot="1">
      <c r="A11" s="3">
        <v>0.46</v>
      </c>
      <c r="B11" s="3">
        <v>0.46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0.05</v>
      </c>
      <c r="I11" s="3">
        <v>0.02</v>
      </c>
      <c r="J11" s="3">
        <v>0.94</v>
      </c>
      <c r="K11" s="3">
        <v>0.03</v>
      </c>
      <c r="L11" s="3">
        <v>0.03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4">
        <v>0</v>
      </c>
      <c r="Y11" s="3">
        <v>17.101600000000001</v>
      </c>
      <c r="Z11" s="3">
        <v>14.4962</v>
      </c>
      <c r="AA11" s="3">
        <v>1.4748000000000001</v>
      </c>
      <c r="AB11" s="3">
        <v>1.8557999999999999</v>
      </c>
      <c r="AC11" s="3">
        <v>23.097200000000001</v>
      </c>
      <c r="AD11" s="3">
        <v>10.79102</v>
      </c>
      <c r="AE11" s="3">
        <v>2.3693200000000001</v>
      </c>
      <c r="AF11" s="3">
        <v>2.5663499999999999</v>
      </c>
      <c r="AG11" s="3">
        <v>6.0850999999999997</v>
      </c>
      <c r="AH11" s="3">
        <v>6.8392999999999997</v>
      </c>
      <c r="AI11" s="3">
        <v>167.74160000000001</v>
      </c>
      <c r="AJ11" s="3">
        <v>70.56</v>
      </c>
      <c r="AK11" s="3">
        <f t="shared" si="0"/>
        <v>2.9666999999999999</v>
      </c>
      <c r="AL11" s="3">
        <f t="shared" si="1"/>
        <v>1.8291999999999999</v>
      </c>
      <c r="AM11" s="3">
        <f t="shared" si="2"/>
        <v>30.15476</v>
      </c>
      <c r="AN11" s="3">
        <f t="shared" si="3"/>
        <v>13.5877</v>
      </c>
      <c r="AO11" s="3">
        <f t="shared" si="4"/>
        <v>1.3681000000000001</v>
      </c>
      <c r="AP11" s="3">
        <f t="shared" si="5"/>
        <v>0.61569999999999991</v>
      </c>
      <c r="AQ11" s="6">
        <v>100</v>
      </c>
      <c r="AR11" s="3">
        <v>1.53</v>
      </c>
    </row>
    <row r="12" spans="1:44" ht="15.75" thickBot="1">
      <c r="A12" s="3">
        <v>0.46060000000000001</v>
      </c>
      <c r="B12" s="3">
        <v>0.46060000000000001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5.8799999999999998E-2</v>
      </c>
      <c r="I12" s="3">
        <v>0.02</v>
      </c>
      <c r="J12" s="3">
        <v>0.96</v>
      </c>
      <c r="K12" s="3">
        <v>0.04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4">
        <v>0</v>
      </c>
      <c r="Y12" s="3">
        <v>17.469866</v>
      </c>
      <c r="Z12" s="3">
        <v>14.731999999999999</v>
      </c>
      <c r="AA12" s="3">
        <v>1.4861219999999999</v>
      </c>
      <c r="AB12" s="3">
        <v>1.8535999999999999</v>
      </c>
      <c r="AC12" s="3">
        <v>23.460062000000001</v>
      </c>
      <c r="AD12" s="3">
        <v>10.615360000000001</v>
      </c>
      <c r="AE12" s="3">
        <v>2.4020457999999998</v>
      </c>
      <c r="AF12" s="3">
        <v>2.5897999999999999</v>
      </c>
      <c r="AG12" s="3">
        <v>6.1383999999999999</v>
      </c>
      <c r="AH12" s="3">
        <v>6.8220000000000001</v>
      </c>
      <c r="AI12" s="3">
        <v>167.35529600000001</v>
      </c>
      <c r="AJ12" s="3">
        <v>70.449200000000005</v>
      </c>
      <c r="AK12" s="3">
        <f t="shared" si="0"/>
        <v>2.999768</v>
      </c>
      <c r="AL12" s="3">
        <f t="shared" si="1"/>
        <v>1.8160000000000001</v>
      </c>
      <c r="AM12" s="3">
        <f t="shared" si="2"/>
        <v>30.281151600000001</v>
      </c>
      <c r="AN12" s="3">
        <f t="shared" si="3"/>
        <v>13.551200000000001</v>
      </c>
      <c r="AO12" s="3">
        <f t="shared" si="4"/>
        <v>1.383912</v>
      </c>
      <c r="AP12" s="3">
        <f t="shared" si="5"/>
        <v>0.61440000000000006</v>
      </c>
      <c r="AQ12" s="3">
        <v>136</v>
      </c>
      <c r="AR12" s="3">
        <v>1.55</v>
      </c>
    </row>
    <row r="13" spans="1:44" ht="15.75" thickBot="1">
      <c r="A13" s="3">
        <v>0.46060000000000001</v>
      </c>
      <c r="B13" s="3">
        <v>0.36847999999999997</v>
      </c>
      <c r="C13" s="3">
        <v>9.2119999999999994E-2</v>
      </c>
      <c r="D13" s="3">
        <v>0</v>
      </c>
      <c r="E13" s="3">
        <v>0</v>
      </c>
      <c r="F13" s="3">
        <v>0</v>
      </c>
      <c r="G13" s="3">
        <v>0</v>
      </c>
      <c r="H13" s="3">
        <v>5.8799999999999998E-2</v>
      </c>
      <c r="I13" s="3">
        <v>0.02</v>
      </c>
      <c r="J13" s="3">
        <v>0.97499999999999998</v>
      </c>
      <c r="K13" s="3">
        <v>0</v>
      </c>
      <c r="L13" s="3">
        <v>0</v>
      </c>
      <c r="M13" s="3">
        <v>2.5000000000000001E-2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4">
        <v>0</v>
      </c>
      <c r="Y13" s="3">
        <v>19.215540000000001</v>
      </c>
      <c r="Z13" s="3">
        <v>14.5625</v>
      </c>
      <c r="AA13" s="3">
        <v>1.4778312</v>
      </c>
      <c r="AB13" s="3">
        <v>1.8620000000000001</v>
      </c>
      <c r="AC13" s="3">
        <v>25.501441199999999</v>
      </c>
      <c r="AD13" s="3">
        <v>10.645250000000001</v>
      </c>
      <c r="AE13" s="3">
        <v>2.4978506</v>
      </c>
      <c r="AF13" s="3">
        <v>2.5852499999999998</v>
      </c>
      <c r="AG13" s="3">
        <v>6.0647039999999999</v>
      </c>
      <c r="AH13" s="3">
        <v>6.8479999999999999</v>
      </c>
      <c r="AI13" s="3">
        <v>170.47437360000001</v>
      </c>
      <c r="AJ13" s="3">
        <v>71.741159999999994</v>
      </c>
      <c r="AK13" s="3">
        <f t="shared" si="0"/>
        <v>3.0799124</v>
      </c>
      <c r="AL13" s="3">
        <f t="shared" si="1"/>
        <v>1.80725</v>
      </c>
      <c r="AM13" s="3">
        <f t="shared" si="2"/>
        <v>28.838920879999996</v>
      </c>
      <c r="AN13" s="3">
        <f t="shared" si="3"/>
        <v>13.635</v>
      </c>
      <c r="AO13" s="3">
        <f t="shared" si="4"/>
        <v>1.4069419999999999</v>
      </c>
      <c r="AP13" s="3">
        <f t="shared" si="5"/>
        <v>0.61175000000000002</v>
      </c>
      <c r="AQ13" s="3">
        <v>95</v>
      </c>
      <c r="AR13" s="3">
        <v>1.5580000000000001</v>
      </c>
    </row>
    <row r="14" spans="1:44" ht="15.75" thickBot="1">
      <c r="A14" s="3">
        <v>0.47</v>
      </c>
      <c r="B14" s="3">
        <v>0.47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0.06</v>
      </c>
      <c r="I14" s="3">
        <v>0</v>
      </c>
      <c r="J14" s="3">
        <v>0.99</v>
      </c>
      <c r="K14" s="3">
        <v>0</v>
      </c>
      <c r="L14" s="3">
        <v>0</v>
      </c>
      <c r="M14" s="3">
        <v>0</v>
      </c>
      <c r="N14" s="3">
        <v>0</v>
      </c>
      <c r="O14" s="3">
        <v>5.0000000000000001E-3</v>
      </c>
      <c r="P14" s="3">
        <v>5.0000000000000001E-3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4">
        <v>0</v>
      </c>
      <c r="Y14" s="3">
        <v>17.191700000000001</v>
      </c>
      <c r="Z14" s="3">
        <v>14.5665</v>
      </c>
      <c r="AA14" s="3">
        <v>1.4888999999999999</v>
      </c>
      <c r="AB14" s="3">
        <v>1.85975</v>
      </c>
      <c r="AC14" s="3">
        <v>23.4819</v>
      </c>
      <c r="AD14" s="3">
        <v>10.63775</v>
      </c>
      <c r="AE14" s="3">
        <v>2.3882099999999999</v>
      </c>
      <c r="AF14" s="3">
        <v>2.5763750000000001</v>
      </c>
      <c r="AG14" s="3">
        <v>6.15</v>
      </c>
      <c r="AH14" s="3">
        <v>6.8254000000000001</v>
      </c>
      <c r="AI14" s="3">
        <v>165.36510000000001</v>
      </c>
      <c r="AJ14" s="3">
        <v>69.59</v>
      </c>
      <c r="AK14" s="3">
        <f t="shared" si="0"/>
        <v>3.0116000000000001</v>
      </c>
      <c r="AL14" s="3">
        <f t="shared" si="1"/>
        <v>1.8107</v>
      </c>
      <c r="AM14" s="3">
        <f t="shared" si="2"/>
        <v>30.67342</v>
      </c>
      <c r="AN14" s="3">
        <f t="shared" si="3"/>
        <v>13.598450000000001</v>
      </c>
      <c r="AO14" s="3">
        <f t="shared" si="4"/>
        <v>1.3843999999999999</v>
      </c>
      <c r="AP14" s="3">
        <f t="shared" si="5"/>
        <v>0.61</v>
      </c>
      <c r="AQ14" s="5">
        <v>70</v>
      </c>
      <c r="AR14" s="3">
        <v>0.15</v>
      </c>
    </row>
    <row r="15" spans="1:44" ht="15.75" thickBot="1">
      <c r="A15" s="3">
        <v>0.47</v>
      </c>
      <c r="B15" s="3">
        <v>0.47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0.06</v>
      </c>
      <c r="I15" s="3">
        <v>0</v>
      </c>
      <c r="J15" s="3">
        <v>0.98</v>
      </c>
      <c r="K15" s="3">
        <v>0</v>
      </c>
      <c r="L15" s="3">
        <v>0</v>
      </c>
      <c r="M15" s="3">
        <v>0</v>
      </c>
      <c r="N15" s="3">
        <v>0</v>
      </c>
      <c r="O15" s="3">
        <v>0.01</v>
      </c>
      <c r="P15" s="3">
        <v>0.01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4">
        <v>0</v>
      </c>
      <c r="Y15" s="3">
        <v>17.191700000000001</v>
      </c>
      <c r="Z15" s="3">
        <v>14.532999999999999</v>
      </c>
      <c r="AA15" s="3">
        <v>1.4888999999999999</v>
      </c>
      <c r="AB15" s="3">
        <v>1.8594999999999999</v>
      </c>
      <c r="AC15" s="3">
        <v>23.4819</v>
      </c>
      <c r="AD15" s="3">
        <v>10.6355</v>
      </c>
      <c r="AE15" s="3">
        <v>2.3882099999999999</v>
      </c>
      <c r="AF15" s="3">
        <v>2.5727500000000001</v>
      </c>
      <c r="AG15" s="3">
        <v>6.15</v>
      </c>
      <c r="AH15" s="3">
        <v>6.8208000000000002</v>
      </c>
      <c r="AI15" s="3">
        <v>165.48500000000001</v>
      </c>
      <c r="AJ15" s="3">
        <v>69.64</v>
      </c>
      <c r="AK15" s="3">
        <f t="shared" si="0"/>
        <v>3.0116000000000001</v>
      </c>
      <c r="AL15" s="3">
        <f t="shared" si="1"/>
        <v>1.8114000000000001</v>
      </c>
      <c r="AM15" s="3">
        <f t="shared" si="2"/>
        <v>30.67342</v>
      </c>
      <c r="AN15" s="3">
        <f t="shared" si="3"/>
        <v>13.626900000000001</v>
      </c>
      <c r="AO15" s="3">
        <f t="shared" si="4"/>
        <v>1.3843999999999999</v>
      </c>
      <c r="AP15" s="3">
        <f t="shared" si="5"/>
        <v>0.61</v>
      </c>
      <c r="AQ15" s="5">
        <v>70</v>
      </c>
      <c r="AR15" s="3">
        <v>0.17</v>
      </c>
    </row>
    <row r="16" spans="1:44" ht="15.75" thickBot="1">
      <c r="A16" s="3">
        <v>0.47</v>
      </c>
      <c r="B16" s="3">
        <v>0.47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0.06</v>
      </c>
      <c r="I16" s="3">
        <v>0</v>
      </c>
      <c r="J16" s="3">
        <v>0.97</v>
      </c>
      <c r="K16" s="3">
        <v>0</v>
      </c>
      <c r="L16" s="3">
        <v>0</v>
      </c>
      <c r="M16" s="3">
        <v>0</v>
      </c>
      <c r="N16" s="3">
        <v>0</v>
      </c>
      <c r="O16" s="3">
        <v>1.4999999999999999E-2</v>
      </c>
      <c r="P16" s="3">
        <v>1.4999999999999999E-2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4">
        <v>0</v>
      </c>
      <c r="Y16" s="3">
        <v>17.191700000000001</v>
      </c>
      <c r="Z16" s="3">
        <v>14.499499999999999</v>
      </c>
      <c r="AA16" s="3">
        <v>1.4888999999999999</v>
      </c>
      <c r="AB16" s="3">
        <v>1.8592500000000001</v>
      </c>
      <c r="AC16" s="3">
        <v>23.4819</v>
      </c>
      <c r="AD16" s="3">
        <v>10.63325</v>
      </c>
      <c r="AE16" s="3">
        <v>2.3882099999999999</v>
      </c>
      <c r="AF16" s="3">
        <v>2.5691250000000001</v>
      </c>
      <c r="AG16" s="3">
        <v>6.15</v>
      </c>
      <c r="AH16" s="3">
        <v>6.8162000000000003</v>
      </c>
      <c r="AI16" s="3">
        <v>165.60489999999999</v>
      </c>
      <c r="AJ16" s="3">
        <v>69.69</v>
      </c>
      <c r="AK16" s="3">
        <f t="shared" si="0"/>
        <v>3.0116000000000001</v>
      </c>
      <c r="AL16" s="3">
        <f t="shared" si="1"/>
        <v>1.8121</v>
      </c>
      <c r="AM16" s="3">
        <f t="shared" si="2"/>
        <v>30.67342</v>
      </c>
      <c r="AN16" s="3">
        <f t="shared" si="3"/>
        <v>13.655350000000002</v>
      </c>
      <c r="AO16" s="3">
        <f t="shared" si="4"/>
        <v>1.3843999999999999</v>
      </c>
      <c r="AP16" s="3">
        <f t="shared" si="5"/>
        <v>0.61</v>
      </c>
      <c r="AQ16" s="5">
        <v>70</v>
      </c>
      <c r="AR16" s="3">
        <v>0.25</v>
      </c>
    </row>
    <row r="17" spans="1:44" ht="15.75" thickBot="1">
      <c r="A17" s="3">
        <v>0.47</v>
      </c>
      <c r="B17" s="3">
        <v>0.47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0.06</v>
      </c>
      <c r="I17" s="3">
        <v>0</v>
      </c>
      <c r="J17" s="3">
        <v>0.96</v>
      </c>
      <c r="K17" s="3">
        <v>0</v>
      </c>
      <c r="L17" s="3">
        <v>0</v>
      </c>
      <c r="M17" s="3">
        <v>0</v>
      </c>
      <c r="N17" s="3">
        <v>0</v>
      </c>
      <c r="O17" s="3">
        <v>0.02</v>
      </c>
      <c r="P17" s="3">
        <v>0.02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4">
        <v>0</v>
      </c>
      <c r="Y17" s="3">
        <v>17.191700000000001</v>
      </c>
      <c r="Z17" s="3">
        <v>14.465999999999999</v>
      </c>
      <c r="AA17" s="3">
        <v>1.4888999999999999</v>
      </c>
      <c r="AB17" s="3">
        <v>1.859</v>
      </c>
      <c r="AC17" s="3">
        <v>23.4819</v>
      </c>
      <c r="AD17" s="3">
        <v>10.631</v>
      </c>
      <c r="AE17" s="3">
        <v>2.3882099999999999</v>
      </c>
      <c r="AF17" s="3">
        <v>2.5655000000000001</v>
      </c>
      <c r="AG17" s="3">
        <v>6.15</v>
      </c>
      <c r="AH17" s="3">
        <v>6.8116000000000003</v>
      </c>
      <c r="AI17" s="3">
        <v>165.72479999999999</v>
      </c>
      <c r="AJ17" s="3">
        <v>69.739999999999995</v>
      </c>
      <c r="AK17" s="3">
        <f t="shared" si="0"/>
        <v>3.0116000000000001</v>
      </c>
      <c r="AL17" s="3">
        <f t="shared" si="1"/>
        <v>1.8128</v>
      </c>
      <c r="AM17" s="3">
        <f t="shared" si="2"/>
        <v>30.67342</v>
      </c>
      <c r="AN17" s="3">
        <f t="shared" si="3"/>
        <v>13.6838</v>
      </c>
      <c r="AO17" s="3">
        <f t="shared" si="4"/>
        <v>1.3843999999999999</v>
      </c>
      <c r="AP17" s="3">
        <f t="shared" si="5"/>
        <v>0.6100000000000001</v>
      </c>
      <c r="AQ17" s="5">
        <v>70</v>
      </c>
      <c r="AR17" s="3">
        <v>0.7</v>
      </c>
    </row>
    <row r="18" spans="1:44" ht="15.75" thickBot="1">
      <c r="A18" s="3">
        <v>0.47</v>
      </c>
      <c r="B18" s="3">
        <v>0.47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0.06</v>
      </c>
      <c r="I18" s="3">
        <v>0</v>
      </c>
      <c r="J18" s="3">
        <v>0.95</v>
      </c>
      <c r="K18" s="3">
        <v>0</v>
      </c>
      <c r="L18" s="3">
        <v>0</v>
      </c>
      <c r="M18" s="3">
        <v>0</v>
      </c>
      <c r="N18" s="3">
        <v>0</v>
      </c>
      <c r="O18" s="3">
        <v>2.5000000000000001E-2</v>
      </c>
      <c r="P18" s="3">
        <v>2.5000000000000001E-2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4">
        <v>0</v>
      </c>
      <c r="Y18" s="3">
        <v>17.191700000000001</v>
      </c>
      <c r="Z18" s="3">
        <v>14.432499999999999</v>
      </c>
      <c r="AA18" s="3">
        <v>1.4888999999999999</v>
      </c>
      <c r="AB18" s="3">
        <v>1.8587499999999999</v>
      </c>
      <c r="AC18" s="3">
        <v>23.4819</v>
      </c>
      <c r="AD18" s="3">
        <v>10.62875</v>
      </c>
      <c r="AE18" s="3">
        <v>2.3882099999999999</v>
      </c>
      <c r="AF18" s="3">
        <v>2.5618750000000001</v>
      </c>
      <c r="AG18" s="3">
        <v>6.15</v>
      </c>
      <c r="AH18" s="3">
        <v>6.8070000000000004</v>
      </c>
      <c r="AI18" s="3">
        <v>165.84469999999999</v>
      </c>
      <c r="AJ18" s="3">
        <v>69.790000000000006</v>
      </c>
      <c r="AK18" s="3">
        <f t="shared" si="0"/>
        <v>3.0116000000000001</v>
      </c>
      <c r="AL18" s="3">
        <f t="shared" si="1"/>
        <v>1.8134999999999999</v>
      </c>
      <c r="AM18" s="3">
        <f t="shared" si="2"/>
        <v>30.67342</v>
      </c>
      <c r="AN18" s="3">
        <f t="shared" si="3"/>
        <v>13.712249999999999</v>
      </c>
      <c r="AO18" s="3">
        <f t="shared" si="4"/>
        <v>1.3843999999999999</v>
      </c>
      <c r="AP18" s="3">
        <f t="shared" si="5"/>
        <v>0.61</v>
      </c>
      <c r="AQ18" s="5">
        <v>70</v>
      </c>
      <c r="AR18" s="3">
        <v>0.68</v>
      </c>
    </row>
    <row r="19" spans="1:44" ht="15.75" thickBot="1">
      <c r="A19" s="3">
        <v>0.47</v>
      </c>
      <c r="B19" s="3">
        <v>0.47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0.06</v>
      </c>
      <c r="I19" s="3">
        <v>0</v>
      </c>
      <c r="J19" s="3">
        <v>0.93</v>
      </c>
      <c r="K19" s="3">
        <v>0</v>
      </c>
      <c r="L19" s="3">
        <v>0</v>
      </c>
      <c r="M19" s="3">
        <v>0</v>
      </c>
      <c r="N19" s="3">
        <v>0</v>
      </c>
      <c r="O19" s="3">
        <v>3.5000000000000003E-2</v>
      </c>
      <c r="P19" s="3">
        <v>3.5000000000000003E-2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4">
        <v>0</v>
      </c>
      <c r="Y19" s="3">
        <v>17.191700000000001</v>
      </c>
      <c r="Z19" s="3">
        <v>14.365500000000001</v>
      </c>
      <c r="AA19" s="3">
        <v>1.4888999999999999</v>
      </c>
      <c r="AB19" s="3">
        <v>1.85825</v>
      </c>
      <c r="AC19" s="3">
        <v>23.4819</v>
      </c>
      <c r="AD19" s="3">
        <v>10.62425</v>
      </c>
      <c r="AE19" s="3">
        <v>2.3882099999999999</v>
      </c>
      <c r="AF19" s="3">
        <v>2.5546250000000001</v>
      </c>
      <c r="AG19" s="3">
        <v>6.15</v>
      </c>
      <c r="AH19" s="3">
        <v>6.7977999999999996</v>
      </c>
      <c r="AI19" s="3">
        <v>166.08449999999999</v>
      </c>
      <c r="AJ19" s="3">
        <v>69.89</v>
      </c>
      <c r="AK19" s="3">
        <f t="shared" si="0"/>
        <v>3.0116000000000001</v>
      </c>
      <c r="AL19" s="3">
        <f t="shared" si="1"/>
        <v>1.8149000000000002</v>
      </c>
      <c r="AM19" s="3">
        <f t="shared" si="2"/>
        <v>30.67342</v>
      </c>
      <c r="AN19" s="3">
        <f t="shared" si="3"/>
        <v>13.769150000000002</v>
      </c>
      <c r="AO19" s="3">
        <f t="shared" si="4"/>
        <v>1.3843999999999999</v>
      </c>
      <c r="AP19" s="3">
        <f t="shared" si="5"/>
        <v>0.6100000000000001</v>
      </c>
      <c r="AQ19" s="5">
        <v>70</v>
      </c>
      <c r="AR19" s="3">
        <v>0.66</v>
      </c>
    </row>
    <row r="20" spans="1:44" ht="15.75" thickBot="1">
      <c r="A20" s="3">
        <v>0.47</v>
      </c>
      <c r="B20" s="3">
        <v>0.47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0.06</v>
      </c>
      <c r="I20" s="3">
        <v>0</v>
      </c>
      <c r="J20" s="3">
        <v>0.96499999999999997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2.3331000000000001E-2</v>
      </c>
      <c r="Q20" s="3">
        <v>1.1655E-2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4">
        <v>0</v>
      </c>
      <c r="Y20" s="3">
        <v>17.191700000000001</v>
      </c>
      <c r="Z20" s="3">
        <v>14.5788397</v>
      </c>
      <c r="AA20" s="3">
        <v>1.4888999999999999</v>
      </c>
      <c r="AB20" s="3">
        <v>1.85752998</v>
      </c>
      <c r="AC20" s="3">
        <v>23.4819</v>
      </c>
      <c r="AD20" s="3">
        <v>10.68344473</v>
      </c>
      <c r="AE20" s="3">
        <v>2.3882099999999999</v>
      </c>
      <c r="AF20" s="3">
        <v>2.57775321</v>
      </c>
      <c r="AG20" s="3">
        <v>6.15</v>
      </c>
      <c r="AH20" s="3">
        <v>6.8377117600000004</v>
      </c>
      <c r="AI20" s="3">
        <v>166.01388679999999</v>
      </c>
      <c r="AJ20" s="3">
        <v>69.866431000000006</v>
      </c>
      <c r="AK20" s="3">
        <f t="shared" si="0"/>
        <v>3.0116000000000001</v>
      </c>
      <c r="AL20" s="3">
        <f t="shared" si="1"/>
        <v>1.81428575</v>
      </c>
      <c r="AM20" s="3">
        <f t="shared" si="2"/>
        <v>30.67342</v>
      </c>
      <c r="AN20" s="3">
        <f t="shared" si="3"/>
        <v>13.596858650000001</v>
      </c>
      <c r="AO20" s="3">
        <f t="shared" si="4"/>
        <v>1.3843999999999999</v>
      </c>
      <c r="AP20" s="3">
        <f t="shared" si="5"/>
        <v>0.61290668000000004</v>
      </c>
      <c r="AQ20" s="3">
        <v>70</v>
      </c>
      <c r="AR20" s="3">
        <v>0.8</v>
      </c>
    </row>
    <row r="21" spans="1:44" ht="15.75" thickBot="1">
      <c r="A21" s="3">
        <v>0.43709999999999999</v>
      </c>
      <c r="B21" s="3">
        <v>0.47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0.06</v>
      </c>
      <c r="I21" s="3">
        <v>3.2899999999999999E-2</v>
      </c>
      <c r="J21" s="3">
        <v>0.97499999999999998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0.02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4">
        <v>0</v>
      </c>
      <c r="Y21" s="3">
        <v>17.971430000000002</v>
      </c>
      <c r="Z21" s="3">
        <v>14.548999999999999</v>
      </c>
      <c r="AA21" s="3">
        <v>1.462909</v>
      </c>
      <c r="AB21" s="3">
        <v>1.8541000000000001</v>
      </c>
      <c r="AC21" s="3">
        <v>23.517431999999999</v>
      </c>
      <c r="AD21" s="3">
        <v>10.5906</v>
      </c>
      <c r="AE21" s="3">
        <v>2.4238407</v>
      </c>
      <c r="AF21" s="3">
        <v>2.5707</v>
      </c>
      <c r="AG21" s="3">
        <v>6.0937409999999996</v>
      </c>
      <c r="AH21" s="3">
        <v>6.7944500000000003</v>
      </c>
      <c r="AI21" s="3">
        <v>163.59881799999999</v>
      </c>
      <c r="AJ21" s="3">
        <v>68.954599999999999</v>
      </c>
      <c r="AK21" s="3">
        <f t="shared" si="0"/>
        <v>3.0171929999999998</v>
      </c>
      <c r="AL21" s="3">
        <f t="shared" si="1"/>
        <v>1.79975</v>
      </c>
      <c r="AM21" s="3">
        <f t="shared" si="2"/>
        <v>30.487863999999998</v>
      </c>
      <c r="AN21" s="3">
        <f t="shared" si="3"/>
        <v>13.51075</v>
      </c>
      <c r="AO21" s="3">
        <f t="shared" si="4"/>
        <v>1.3847289999999999</v>
      </c>
      <c r="AP21" s="3">
        <f t="shared" si="5"/>
        <v>0.60834999999999995</v>
      </c>
      <c r="AQ21" s="3">
        <v>135</v>
      </c>
      <c r="AR21" s="3">
        <v>1.83</v>
      </c>
    </row>
    <row r="22" spans="1:44" ht="15.75" thickBot="1">
      <c r="A22" s="3">
        <v>0.39950000000000002</v>
      </c>
      <c r="B22" s="3">
        <v>0.39950000000000002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0.20100000000000001</v>
      </c>
      <c r="I22" s="3">
        <v>0</v>
      </c>
      <c r="J22" s="3">
        <v>0.85</v>
      </c>
      <c r="K22" s="3">
        <v>0</v>
      </c>
      <c r="L22" s="3">
        <v>0.15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4">
        <v>0</v>
      </c>
      <c r="Y22" s="3">
        <v>20.567945000000002</v>
      </c>
      <c r="Z22" s="3">
        <v>13.586</v>
      </c>
      <c r="AA22" s="3">
        <v>1.427565</v>
      </c>
      <c r="AB22" s="3">
        <v>1.863</v>
      </c>
      <c r="AC22" s="3">
        <v>25.683615</v>
      </c>
      <c r="AD22" s="3">
        <v>11.487500000000001</v>
      </c>
      <c r="AE22" s="3">
        <v>2.5402784999999999</v>
      </c>
      <c r="AF22" s="3">
        <v>2.4750000000000001</v>
      </c>
      <c r="AG22" s="3">
        <v>6.0090000000000003</v>
      </c>
      <c r="AH22" s="3">
        <v>6.9065000000000003</v>
      </c>
      <c r="AI22" s="3">
        <v>179.12842000000001</v>
      </c>
      <c r="AJ22" s="3">
        <v>75.009</v>
      </c>
      <c r="AK22" s="3">
        <f t="shared" si="0"/>
        <v>3.06236</v>
      </c>
      <c r="AL22" s="3">
        <f t="shared" si="1"/>
        <v>1.8835</v>
      </c>
      <c r="AM22" s="3">
        <f t="shared" si="2"/>
        <v>27.572407000000002</v>
      </c>
      <c r="AN22" s="3">
        <f t="shared" si="3"/>
        <v>13.728999999999999</v>
      </c>
      <c r="AO22" s="3">
        <f t="shared" si="4"/>
        <v>1.4182399999999999</v>
      </c>
      <c r="AP22" s="3">
        <f t="shared" si="5"/>
        <v>0.622</v>
      </c>
      <c r="AQ22" s="3">
        <v>115</v>
      </c>
      <c r="AR22" s="3">
        <v>1.2</v>
      </c>
    </row>
    <row r="23" spans="1:44" ht="15.75" thickBot="1">
      <c r="A23" s="3">
        <v>0.376</v>
      </c>
      <c r="B23" s="3">
        <v>0.376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0.248</v>
      </c>
      <c r="I23" s="3">
        <v>0</v>
      </c>
      <c r="J23" s="3">
        <v>0.8</v>
      </c>
      <c r="K23" s="3">
        <v>0</v>
      </c>
      <c r="L23" s="3">
        <v>0.2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4">
        <v>0</v>
      </c>
      <c r="Y23" s="3">
        <v>21.693359999999998</v>
      </c>
      <c r="Z23" s="3">
        <v>13.247999999999999</v>
      </c>
      <c r="AA23" s="3">
        <v>1.4071199999999999</v>
      </c>
      <c r="AB23" s="3">
        <v>1.8640000000000001</v>
      </c>
      <c r="AC23" s="3">
        <v>26.41752</v>
      </c>
      <c r="AD23" s="3">
        <v>11.77</v>
      </c>
      <c r="AE23" s="3">
        <v>2.5909680000000002</v>
      </c>
      <c r="AF23" s="3">
        <v>2.44</v>
      </c>
      <c r="AG23" s="3">
        <v>5.9619999999999997</v>
      </c>
      <c r="AH23" s="3">
        <v>6.9320000000000004</v>
      </c>
      <c r="AI23" s="3">
        <v>183.75615999999999</v>
      </c>
      <c r="AJ23" s="3">
        <v>76.831999999999994</v>
      </c>
      <c r="AK23" s="3">
        <f t="shared" si="0"/>
        <v>3.0792799999999998</v>
      </c>
      <c r="AL23" s="3">
        <f t="shared" si="1"/>
        <v>1.9080000000000001</v>
      </c>
      <c r="AM23" s="3">
        <f t="shared" si="2"/>
        <v>26.538736</v>
      </c>
      <c r="AN23" s="3">
        <f t="shared" si="3"/>
        <v>13.782000000000002</v>
      </c>
      <c r="AO23" s="3">
        <f t="shared" si="4"/>
        <v>1.4295200000000001</v>
      </c>
      <c r="AP23" s="3">
        <f t="shared" si="5"/>
        <v>0.626</v>
      </c>
      <c r="AQ23" s="3">
        <v>110</v>
      </c>
      <c r="AR23" s="3">
        <v>0.89</v>
      </c>
    </row>
    <row r="24" spans="1:44" ht="15.75" thickBot="1">
      <c r="A24" s="3">
        <v>0.44222499999999998</v>
      </c>
      <c r="B24" s="3">
        <v>0.467225</v>
      </c>
      <c r="C24" s="3">
        <v>2.5000000000000001E-2</v>
      </c>
      <c r="D24" s="3">
        <v>0</v>
      </c>
      <c r="E24" s="3">
        <v>0</v>
      </c>
      <c r="F24" s="3">
        <v>0</v>
      </c>
      <c r="G24" s="3">
        <v>0</v>
      </c>
      <c r="H24" s="3">
        <v>4.6550000000000001E-2</v>
      </c>
      <c r="I24" s="3">
        <v>1.9E-2</v>
      </c>
      <c r="J24" s="3">
        <v>0.95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0.05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4">
        <v>0</v>
      </c>
      <c r="Y24" s="3">
        <v>18.052694750000001</v>
      </c>
      <c r="Z24" s="3">
        <v>14.654999999999999</v>
      </c>
      <c r="AA24" s="3">
        <v>1.4581157499999999</v>
      </c>
      <c r="AB24" s="3">
        <v>1.8685</v>
      </c>
      <c r="AC24" s="3">
        <v>23.884683249999998</v>
      </c>
      <c r="AD24" s="3">
        <v>10.6495</v>
      </c>
      <c r="AE24" s="3">
        <v>2.4304026749999998</v>
      </c>
      <c r="AF24" s="3">
        <v>2.589</v>
      </c>
      <c r="AG24" s="3">
        <v>6.0777900000000002</v>
      </c>
      <c r="AH24" s="3">
        <v>6.8265000000000002</v>
      </c>
      <c r="AI24" s="3">
        <v>163.382856</v>
      </c>
      <c r="AJ24" s="3">
        <v>68.958950000000002</v>
      </c>
      <c r="AK24" s="3">
        <f t="shared" si="0"/>
        <v>3.054678</v>
      </c>
      <c r="AL24" s="3">
        <f t="shared" si="1"/>
        <v>1.8069999999999999</v>
      </c>
      <c r="AM24" s="3">
        <f t="shared" si="2"/>
        <v>30.944748849999996</v>
      </c>
      <c r="AN24" s="3">
        <f t="shared" si="3"/>
        <v>13.591499999999998</v>
      </c>
      <c r="AO24" s="3">
        <f t="shared" si="4"/>
        <v>1.3882320000000001</v>
      </c>
      <c r="AP24" s="3">
        <f t="shared" si="5"/>
        <v>0.61350000000000005</v>
      </c>
      <c r="AQ24" s="3">
        <v>90</v>
      </c>
      <c r="AR24" s="3">
        <v>1.1000000000000001</v>
      </c>
    </row>
    <row r="25" spans="1:44" ht="15.75" thickBot="1">
      <c r="A25" s="3">
        <v>0.42</v>
      </c>
      <c r="B25" s="3">
        <v>0.5</v>
      </c>
      <c r="C25" s="3">
        <v>0.08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0.84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0.16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4">
        <v>0</v>
      </c>
      <c r="Y25" s="3">
        <v>18.607800000000001</v>
      </c>
      <c r="Z25" s="3">
        <v>14.776</v>
      </c>
      <c r="AA25" s="3">
        <v>1.4077999999999999</v>
      </c>
      <c r="AB25" s="3">
        <v>1.8872</v>
      </c>
      <c r="AC25" s="3">
        <v>24.5154</v>
      </c>
      <c r="AD25" s="3">
        <v>10.670400000000001</v>
      </c>
      <c r="AE25" s="3">
        <v>2.4589400000000001</v>
      </c>
      <c r="AF25" s="3">
        <v>2.6088</v>
      </c>
      <c r="AG25" s="3">
        <v>5.9748000000000001</v>
      </c>
      <c r="AH25" s="3">
        <v>6.8188000000000004</v>
      </c>
      <c r="AI25" s="3">
        <v>157.5204</v>
      </c>
      <c r="AJ25" s="3">
        <v>66.92</v>
      </c>
      <c r="AK25" s="3">
        <f t="shared" si="0"/>
        <v>3.1779999999999999</v>
      </c>
      <c r="AL25" s="3">
        <f t="shared" si="1"/>
        <v>1.8004</v>
      </c>
      <c r="AM25" s="3">
        <f t="shared" si="2"/>
        <v>33.187399999999997</v>
      </c>
      <c r="AN25" s="3">
        <f t="shared" si="3"/>
        <v>13.6388</v>
      </c>
      <c r="AO25" s="3">
        <f t="shared" si="4"/>
        <v>1.3932</v>
      </c>
      <c r="AP25" s="3">
        <f t="shared" si="5"/>
        <v>0.62119999999999997</v>
      </c>
      <c r="AQ25" s="3">
        <v>100</v>
      </c>
      <c r="AR25" s="3">
        <v>1.2</v>
      </c>
    </row>
    <row r="26" spans="1:44" ht="15.75" thickBot="1">
      <c r="A26" s="3">
        <v>0.5</v>
      </c>
      <c r="B26" s="3">
        <v>0.4</v>
      </c>
      <c r="C26" s="3">
        <v>0.1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4">
        <v>0</v>
      </c>
      <c r="Y26" s="3">
        <v>17.649999999999999</v>
      </c>
      <c r="Z26" s="3">
        <v>14.6</v>
      </c>
      <c r="AA26" s="3">
        <v>1.506</v>
      </c>
      <c r="AB26" s="3">
        <v>1.86</v>
      </c>
      <c r="AC26" s="3">
        <v>24.760999999999999</v>
      </c>
      <c r="AD26" s="3">
        <v>10.64</v>
      </c>
      <c r="AE26" s="3">
        <v>2.4275000000000002</v>
      </c>
      <c r="AF26" s="3">
        <v>2.58</v>
      </c>
      <c r="AG26" s="3">
        <v>6.13</v>
      </c>
      <c r="AH26" s="3">
        <v>6.83</v>
      </c>
      <c r="AI26" s="3">
        <v>165.52799999999999</v>
      </c>
      <c r="AJ26" s="3">
        <v>69.8</v>
      </c>
      <c r="AK26" s="3">
        <f t="shared" si="0"/>
        <v>3.077</v>
      </c>
      <c r="AL26" s="3">
        <f t="shared" si="1"/>
        <v>1.81</v>
      </c>
      <c r="AM26" s="3">
        <f t="shared" si="2"/>
        <v>30.427400000000002</v>
      </c>
      <c r="AN26" s="3">
        <f t="shared" si="3"/>
        <v>13.57</v>
      </c>
      <c r="AO26" s="3">
        <f t="shared" si="4"/>
        <v>1.3949999999999998</v>
      </c>
      <c r="AP26" s="3">
        <f t="shared" si="5"/>
        <v>0.61</v>
      </c>
      <c r="AQ26" s="3">
        <v>60</v>
      </c>
      <c r="AR26" s="3">
        <v>0.15</v>
      </c>
    </row>
    <row r="27" spans="1:44" ht="15.75" thickBot="1">
      <c r="A27" s="3">
        <v>0.5</v>
      </c>
      <c r="B27" s="3">
        <v>0.4</v>
      </c>
      <c r="C27" s="3">
        <v>0.1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0.998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2E-3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4">
        <v>0</v>
      </c>
      <c r="Y27" s="3">
        <v>17.649999999999999</v>
      </c>
      <c r="Z27" s="3">
        <v>14.603199999999999</v>
      </c>
      <c r="AA27" s="3">
        <v>1.506</v>
      </c>
      <c r="AB27" s="3">
        <v>1.8597399999999999</v>
      </c>
      <c r="AC27" s="3">
        <v>24.760999999999999</v>
      </c>
      <c r="AD27" s="3">
        <v>10.6456</v>
      </c>
      <c r="AE27" s="3">
        <v>2.4275000000000002</v>
      </c>
      <c r="AF27" s="3">
        <v>2.58066</v>
      </c>
      <c r="AG27" s="3">
        <v>6.13</v>
      </c>
      <c r="AH27" s="3">
        <v>6.8299799999999999</v>
      </c>
      <c r="AI27" s="3">
        <v>165.7919</v>
      </c>
      <c r="AJ27" s="3">
        <v>69.900000000000006</v>
      </c>
      <c r="AK27" s="3">
        <f t="shared" si="0"/>
        <v>3.077</v>
      </c>
      <c r="AL27" s="3">
        <f t="shared" si="1"/>
        <v>1.8101400000000001</v>
      </c>
      <c r="AM27" s="3">
        <f t="shared" si="2"/>
        <v>30.427400000000002</v>
      </c>
      <c r="AN27" s="3">
        <f t="shared" si="3"/>
        <v>13.57286</v>
      </c>
      <c r="AO27" s="3">
        <f t="shared" si="4"/>
        <v>1.3949999999999998</v>
      </c>
      <c r="AP27" s="3">
        <f t="shared" si="5"/>
        <v>0.61019999999999996</v>
      </c>
      <c r="AQ27" s="3">
        <v>60</v>
      </c>
      <c r="AR27" s="3">
        <v>0.21</v>
      </c>
    </row>
    <row r="28" spans="1:44" ht="15.75" thickBot="1">
      <c r="A28" s="3">
        <v>0.5</v>
      </c>
      <c r="B28" s="3">
        <v>0.4</v>
      </c>
      <c r="C28" s="3">
        <v>0.1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0.996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4.0000000000000001E-3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4">
        <v>0</v>
      </c>
      <c r="Y28" s="3">
        <v>17.649999999999999</v>
      </c>
      <c r="Z28" s="3">
        <v>14.606400000000001</v>
      </c>
      <c r="AA28" s="3">
        <v>1.506</v>
      </c>
      <c r="AB28" s="3">
        <v>1.85948</v>
      </c>
      <c r="AC28" s="3">
        <v>24.760999999999999</v>
      </c>
      <c r="AD28" s="3">
        <v>10.651199999999999</v>
      </c>
      <c r="AE28" s="3">
        <v>2.4275000000000002</v>
      </c>
      <c r="AF28" s="3">
        <v>2.5813199999999998</v>
      </c>
      <c r="AG28" s="3">
        <v>6.13</v>
      </c>
      <c r="AH28" s="3">
        <v>6.8299599999999998</v>
      </c>
      <c r="AI28" s="3">
        <v>166.0558</v>
      </c>
      <c r="AJ28" s="3">
        <v>70</v>
      </c>
      <c r="AK28" s="3">
        <f t="shared" si="0"/>
        <v>3.077</v>
      </c>
      <c r="AL28" s="3">
        <f t="shared" si="1"/>
        <v>1.8102800000000001</v>
      </c>
      <c r="AM28" s="3">
        <f t="shared" si="2"/>
        <v>30.427400000000002</v>
      </c>
      <c r="AN28" s="3">
        <f t="shared" si="3"/>
        <v>13.57572</v>
      </c>
      <c r="AO28" s="3">
        <f t="shared" si="4"/>
        <v>1.3949999999999998</v>
      </c>
      <c r="AP28" s="3">
        <f t="shared" si="5"/>
        <v>0.61039999999999994</v>
      </c>
      <c r="AQ28" s="3">
        <v>60</v>
      </c>
      <c r="AR28" s="3">
        <v>0.45</v>
      </c>
    </row>
    <row r="29" spans="1:44" ht="15.75" thickBot="1">
      <c r="A29" s="3">
        <v>0.5</v>
      </c>
      <c r="B29" s="3">
        <v>0.4</v>
      </c>
      <c r="C29" s="3">
        <v>0.1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0.99399999999999999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6.0000000000000001E-3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4">
        <v>0</v>
      </c>
      <c r="Y29" s="3">
        <v>17.649999999999999</v>
      </c>
      <c r="Z29" s="3">
        <v>14.6096</v>
      </c>
      <c r="AA29" s="3">
        <v>1.506</v>
      </c>
      <c r="AB29" s="3">
        <v>1.8592200000000001</v>
      </c>
      <c r="AC29" s="3">
        <v>24.760999999999999</v>
      </c>
      <c r="AD29" s="3">
        <v>10.6568</v>
      </c>
      <c r="AE29" s="3">
        <v>2.4275000000000002</v>
      </c>
      <c r="AF29" s="3">
        <v>2.5819800000000002</v>
      </c>
      <c r="AG29" s="3">
        <v>6.13</v>
      </c>
      <c r="AH29" s="3">
        <v>6.8299399999999997</v>
      </c>
      <c r="AI29" s="3">
        <v>166.31970000000001</v>
      </c>
      <c r="AJ29" s="3">
        <v>70.099999999999994</v>
      </c>
      <c r="AK29" s="3">
        <f t="shared" si="0"/>
        <v>3.077</v>
      </c>
      <c r="AL29" s="3">
        <f t="shared" si="1"/>
        <v>1.8104199999999999</v>
      </c>
      <c r="AM29" s="3">
        <f t="shared" si="2"/>
        <v>30.427400000000002</v>
      </c>
      <c r="AN29" s="3">
        <f t="shared" si="3"/>
        <v>13.578580000000001</v>
      </c>
      <c r="AO29" s="3">
        <f t="shared" si="4"/>
        <v>1.3949999999999998</v>
      </c>
      <c r="AP29" s="3">
        <f t="shared" si="5"/>
        <v>0.61060000000000003</v>
      </c>
      <c r="AQ29" s="3">
        <v>60</v>
      </c>
      <c r="AR29" s="3">
        <v>0.51</v>
      </c>
    </row>
    <row r="30" spans="1:44" ht="15.75" thickBot="1">
      <c r="A30" s="3">
        <v>0.5</v>
      </c>
      <c r="B30" s="3">
        <v>0.4</v>
      </c>
      <c r="C30" s="3">
        <v>0.1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0.99199999999999999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8.0000000000000002E-3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4">
        <v>0</v>
      </c>
      <c r="Y30" s="3">
        <v>17.649999999999999</v>
      </c>
      <c r="Z30" s="3">
        <v>14.6128</v>
      </c>
      <c r="AA30" s="3">
        <v>1.506</v>
      </c>
      <c r="AB30" s="3">
        <v>1.8589599999999999</v>
      </c>
      <c r="AC30" s="3">
        <v>24.760999999999999</v>
      </c>
      <c r="AD30" s="3">
        <v>10.6624</v>
      </c>
      <c r="AE30" s="3">
        <v>2.4275000000000002</v>
      </c>
      <c r="AF30" s="3">
        <v>2.58264</v>
      </c>
      <c r="AG30" s="3">
        <v>6.13</v>
      </c>
      <c r="AH30" s="3">
        <v>6.8299200000000004</v>
      </c>
      <c r="AI30" s="3">
        <v>166.58359999999999</v>
      </c>
      <c r="AJ30" s="3">
        <v>70.2</v>
      </c>
      <c r="AK30" s="3">
        <f t="shared" si="0"/>
        <v>3.077</v>
      </c>
      <c r="AL30" s="3">
        <f t="shared" si="1"/>
        <v>1.8105599999999999</v>
      </c>
      <c r="AM30" s="3">
        <f t="shared" si="2"/>
        <v>30.427400000000002</v>
      </c>
      <c r="AN30" s="3">
        <f t="shared" si="3"/>
        <v>13.581439999999999</v>
      </c>
      <c r="AO30" s="3">
        <f t="shared" si="4"/>
        <v>1.3949999999999998</v>
      </c>
      <c r="AP30" s="3">
        <f t="shared" si="5"/>
        <v>0.61080000000000001</v>
      </c>
      <c r="AQ30" s="3">
        <v>60</v>
      </c>
      <c r="AR30" s="3">
        <v>0.48</v>
      </c>
    </row>
    <row r="31" spans="1:44" ht="15.75" thickBot="1">
      <c r="A31" s="3">
        <v>0.4</v>
      </c>
      <c r="B31" s="3">
        <v>0.4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0.2</v>
      </c>
      <c r="I31" s="3">
        <v>0</v>
      </c>
      <c r="J31" s="3">
        <v>0.8</v>
      </c>
      <c r="K31" s="3">
        <v>0</v>
      </c>
      <c r="L31" s="3">
        <v>0.2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4">
        <v>0</v>
      </c>
      <c r="Y31" s="3">
        <v>20.544</v>
      </c>
      <c r="Z31" s="3">
        <v>13.247999999999999</v>
      </c>
      <c r="AA31" s="3">
        <v>1.4279999999999999</v>
      </c>
      <c r="AB31" s="3">
        <v>1.8640000000000001</v>
      </c>
      <c r="AC31" s="3">
        <v>25.667999999999999</v>
      </c>
      <c r="AD31" s="3">
        <v>11.77</v>
      </c>
      <c r="AE31" s="3">
        <v>2.5392000000000001</v>
      </c>
      <c r="AF31" s="3">
        <v>2.44</v>
      </c>
      <c r="AG31" s="3">
        <v>6.01</v>
      </c>
      <c r="AH31" s="3">
        <v>6.9320000000000004</v>
      </c>
      <c r="AI31" s="3">
        <v>182.70400000000001</v>
      </c>
      <c r="AJ31" s="3">
        <v>76.400000000000006</v>
      </c>
      <c r="AK31" s="3">
        <f t="shared" si="0"/>
        <v>3.0619999999999998</v>
      </c>
      <c r="AL31" s="3">
        <f t="shared" si="1"/>
        <v>1.9080000000000001</v>
      </c>
      <c r="AM31" s="3">
        <f t="shared" si="2"/>
        <v>27.5944</v>
      </c>
      <c r="AN31" s="3">
        <f t="shared" si="3"/>
        <v>13.782000000000002</v>
      </c>
      <c r="AO31" s="3">
        <f t="shared" si="4"/>
        <v>1.4180000000000001</v>
      </c>
      <c r="AP31" s="3">
        <f t="shared" si="5"/>
        <v>0.626</v>
      </c>
      <c r="AQ31" s="3">
        <v>195</v>
      </c>
      <c r="AR31" s="3">
        <v>2.35</v>
      </c>
    </row>
    <row r="32" spans="1:44" ht="15.75" thickBot="1">
      <c r="A32" s="3">
        <v>0.48</v>
      </c>
      <c r="B32" s="3">
        <v>0.34560000000000002</v>
      </c>
      <c r="C32" s="3">
        <v>8.6400000000000005E-2</v>
      </c>
      <c r="D32" s="3">
        <v>0</v>
      </c>
      <c r="E32" s="3">
        <v>0.04</v>
      </c>
      <c r="F32" s="3">
        <v>0</v>
      </c>
      <c r="G32" s="3">
        <v>0</v>
      </c>
      <c r="H32" s="3">
        <v>0</v>
      </c>
      <c r="I32" s="3">
        <v>0</v>
      </c>
      <c r="J32" s="3">
        <v>0.97499999999999998</v>
      </c>
      <c r="K32" s="3">
        <v>0</v>
      </c>
      <c r="L32" s="3">
        <v>0</v>
      </c>
      <c r="M32" s="3">
        <v>2.5000000000000001E-2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4.8000000000000001E-2</v>
      </c>
      <c r="T32" s="3">
        <v>0</v>
      </c>
      <c r="U32" s="3">
        <v>0</v>
      </c>
      <c r="V32" s="3">
        <v>0</v>
      </c>
      <c r="W32" s="3">
        <v>0</v>
      </c>
      <c r="X32" s="4">
        <v>0</v>
      </c>
      <c r="Y32" s="3">
        <v>17.876639999999998</v>
      </c>
      <c r="Z32" s="3">
        <v>14.5625</v>
      </c>
      <c r="AA32" s="3">
        <v>1.4923040000000001</v>
      </c>
      <c r="AB32" s="3">
        <v>1.8620000000000001</v>
      </c>
      <c r="AC32" s="3">
        <v>24.398944</v>
      </c>
      <c r="AD32" s="3">
        <v>10.645250000000001</v>
      </c>
      <c r="AE32" s="3">
        <v>2.3988960000000001</v>
      </c>
      <c r="AF32" s="3">
        <v>2.5852499999999998</v>
      </c>
      <c r="AG32" s="3">
        <v>6.1320800000000002</v>
      </c>
      <c r="AH32" s="3">
        <v>6.8479999999999999</v>
      </c>
      <c r="AI32" s="3">
        <v>166.74543199999999</v>
      </c>
      <c r="AJ32" s="3">
        <v>70.222200000000001</v>
      </c>
      <c r="AK32" s="3">
        <f t="shared" si="0"/>
        <v>3.030208</v>
      </c>
      <c r="AL32" s="3">
        <f t="shared" si="1"/>
        <v>1.80725</v>
      </c>
      <c r="AM32" s="3">
        <f t="shared" si="2"/>
        <v>31.162793600000001</v>
      </c>
      <c r="AN32" s="3">
        <f t="shared" si="3"/>
        <v>13.635</v>
      </c>
      <c r="AO32" s="3">
        <f t="shared" si="4"/>
        <v>1.3848000000000003</v>
      </c>
      <c r="AP32" s="3">
        <f t="shared" si="5"/>
        <v>0.61175000000000002</v>
      </c>
      <c r="AQ32" s="3">
        <v>143</v>
      </c>
      <c r="AR32" s="3">
        <v>2.42</v>
      </c>
    </row>
    <row r="33" spans="1:44" ht="15.75" thickBot="1">
      <c r="A33" s="3">
        <v>0.47</v>
      </c>
      <c r="B33" s="3">
        <v>0.36659999999999998</v>
      </c>
      <c r="C33" s="3">
        <v>0.10340000000000001</v>
      </c>
      <c r="D33" s="3">
        <v>0</v>
      </c>
      <c r="E33" s="3">
        <v>0</v>
      </c>
      <c r="F33" s="3">
        <v>0</v>
      </c>
      <c r="G33" s="3">
        <v>0</v>
      </c>
      <c r="H33" s="3">
        <v>0.06</v>
      </c>
      <c r="I33" s="3">
        <v>0</v>
      </c>
      <c r="J33" s="3">
        <v>0.90239999999999998</v>
      </c>
      <c r="K33" s="3">
        <v>0.06</v>
      </c>
      <c r="L33" s="3">
        <v>0</v>
      </c>
      <c r="M33" s="3">
        <v>0</v>
      </c>
      <c r="N33" s="3">
        <v>0</v>
      </c>
      <c r="O33" s="3">
        <v>1.8800000000000001E-2</v>
      </c>
      <c r="P33" s="3">
        <v>1.8800000000000001E-2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4">
        <v>0</v>
      </c>
      <c r="Y33" s="3">
        <v>19.151129999999998</v>
      </c>
      <c r="Z33" s="3">
        <v>14.672040000000001</v>
      </c>
      <c r="AA33" s="3">
        <v>1.4795940000000001</v>
      </c>
      <c r="AB33" s="3">
        <v>1.8494600000000001</v>
      </c>
      <c r="AC33" s="3">
        <v>25.773243999999998</v>
      </c>
      <c r="AD33" s="3">
        <v>10.594580000000001</v>
      </c>
      <c r="AE33" s="3">
        <v>2.495746</v>
      </c>
      <c r="AF33" s="3">
        <v>2.58107</v>
      </c>
      <c r="AG33" s="3">
        <v>6.0672800000000002</v>
      </c>
      <c r="AH33" s="3">
        <v>6.8007039999999996</v>
      </c>
      <c r="AI33" s="3">
        <v>169.86535599999999</v>
      </c>
      <c r="AJ33" s="3">
        <v>71.635199999999998</v>
      </c>
      <c r="AK33" s="3">
        <f t="shared" si="0"/>
        <v>3.1015579999999998</v>
      </c>
      <c r="AL33" s="3">
        <f t="shared" si="1"/>
        <v>1.8216319999999997</v>
      </c>
      <c r="AM33" s="3">
        <f t="shared" si="2"/>
        <v>29.0545896</v>
      </c>
      <c r="AN33" s="3">
        <f t="shared" si="3"/>
        <v>13.648771999999999</v>
      </c>
      <c r="AO33" s="3">
        <f t="shared" si="4"/>
        <v>1.4102499999999998</v>
      </c>
      <c r="AP33" s="3">
        <f t="shared" si="5"/>
        <v>0.61660000000000004</v>
      </c>
      <c r="AQ33" s="3">
        <v>90</v>
      </c>
      <c r="AR33" s="3">
        <v>1.32</v>
      </c>
    </row>
    <row r="34" spans="1:44" ht="15.75" thickBot="1">
      <c r="A34" s="3">
        <v>0.44750000000000001</v>
      </c>
      <c r="B34" s="3">
        <v>0.29749999999999999</v>
      </c>
      <c r="C34" s="3">
        <v>0</v>
      </c>
      <c r="D34" s="3">
        <v>0</v>
      </c>
      <c r="E34" s="3">
        <v>0.255</v>
      </c>
      <c r="F34" s="3">
        <v>0</v>
      </c>
      <c r="G34" s="3">
        <v>0</v>
      </c>
      <c r="H34" s="3">
        <v>0</v>
      </c>
      <c r="I34" s="3">
        <v>0</v>
      </c>
      <c r="J34" s="3">
        <v>0.85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4.9950000000000001E-2</v>
      </c>
      <c r="Q34" s="3">
        <v>9.9900000000000003E-2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4">
        <v>0</v>
      </c>
      <c r="Y34" s="3">
        <v>17.522224999999999</v>
      </c>
      <c r="Z34" s="3">
        <v>14.253155</v>
      </c>
      <c r="AA34" s="3">
        <v>1.510575</v>
      </c>
      <c r="AB34" s="3">
        <v>1.8132675</v>
      </c>
      <c r="AC34" s="3">
        <v>25.265474999999999</v>
      </c>
      <c r="AD34" s="3">
        <v>10.983558499999999</v>
      </c>
      <c r="AE34" s="3">
        <v>2.5005825000000002</v>
      </c>
      <c r="AF34" s="3">
        <v>2.5336590000000001</v>
      </c>
      <c r="AG34" s="3">
        <v>6.2378999999999998</v>
      </c>
      <c r="AH34" s="3">
        <v>6.9063980000000003</v>
      </c>
      <c r="AI34" s="3">
        <v>170.56305699999999</v>
      </c>
      <c r="AJ34" s="3">
        <v>72.051749999999998</v>
      </c>
      <c r="AK34" s="3">
        <f t="shared" si="0"/>
        <v>2.8611500000000003</v>
      </c>
      <c r="AL34" s="3">
        <f t="shared" si="1"/>
        <v>1.8556825000000001</v>
      </c>
      <c r="AM34" s="3">
        <f t="shared" si="2"/>
        <v>24.353485000000003</v>
      </c>
      <c r="AN34" s="3">
        <f t="shared" si="3"/>
        <v>13.735296999999999</v>
      </c>
      <c r="AO34" s="3">
        <f t="shared" si="4"/>
        <v>1.3848499999999999</v>
      </c>
      <c r="AP34" s="3">
        <f t="shared" si="5"/>
        <v>0.624394</v>
      </c>
      <c r="AQ34" s="3">
        <v>250</v>
      </c>
      <c r="AR34" s="3">
        <v>3.45</v>
      </c>
    </row>
    <row r="35" spans="1:44" ht="15.75" thickBot="1">
      <c r="A35" s="3">
        <v>0.3</v>
      </c>
      <c r="B35" s="3">
        <v>0.3</v>
      </c>
      <c r="C35" s="3">
        <v>0</v>
      </c>
      <c r="D35" s="3">
        <v>0</v>
      </c>
      <c r="E35" s="3">
        <v>0.4</v>
      </c>
      <c r="F35" s="3">
        <v>0</v>
      </c>
      <c r="G35" s="3">
        <v>0</v>
      </c>
      <c r="H35" s="3">
        <v>0</v>
      </c>
      <c r="I35" s="3">
        <v>0</v>
      </c>
      <c r="J35" s="3">
        <v>0.98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0.01</v>
      </c>
      <c r="Q35" s="3">
        <v>0</v>
      </c>
      <c r="R35" s="3">
        <v>0</v>
      </c>
      <c r="S35" s="3">
        <v>0</v>
      </c>
      <c r="T35" s="3">
        <v>0.01</v>
      </c>
      <c r="U35" s="3">
        <v>0</v>
      </c>
      <c r="V35" s="3">
        <v>0</v>
      </c>
      <c r="W35" s="3">
        <v>0</v>
      </c>
      <c r="X35" s="4">
        <v>0</v>
      </c>
      <c r="Y35" s="3">
        <v>20.492999999999999</v>
      </c>
      <c r="Z35" s="3">
        <v>14.548999999999999</v>
      </c>
      <c r="AA35" s="3">
        <v>1.361</v>
      </c>
      <c r="AB35" s="3">
        <v>1.8597999999999999</v>
      </c>
      <c r="AC35" s="3">
        <v>27.103000000000002</v>
      </c>
      <c r="AD35" s="3">
        <v>10.606400000000001</v>
      </c>
      <c r="AE35" s="3">
        <v>2.6781000000000001</v>
      </c>
      <c r="AF35" s="3">
        <v>2.5771000000000002</v>
      </c>
      <c r="AG35" s="3">
        <v>6.0019999999999998</v>
      </c>
      <c r="AH35" s="3">
        <v>6.84</v>
      </c>
      <c r="AI35" s="3">
        <v>153.22730000000001</v>
      </c>
      <c r="AJ35" s="3">
        <v>65.63</v>
      </c>
      <c r="AK35" s="3">
        <f t="shared" si="0"/>
        <v>2.9619999999999997</v>
      </c>
      <c r="AL35" s="3">
        <f t="shared" si="1"/>
        <v>1.8029000000000002</v>
      </c>
      <c r="AM35" s="3">
        <f t="shared" si="2"/>
        <v>23.607799999999997</v>
      </c>
      <c r="AN35" s="3">
        <f t="shared" si="3"/>
        <v>13.6005</v>
      </c>
      <c r="AO35" s="3">
        <f t="shared" si="4"/>
        <v>1.3980000000000001</v>
      </c>
      <c r="AP35" s="3">
        <f t="shared" si="5"/>
        <v>0.61109999999999998</v>
      </c>
      <c r="AQ35" s="3">
        <v>170</v>
      </c>
      <c r="AR35" s="3">
        <v>3.36</v>
      </c>
    </row>
    <row r="36" spans="1:44" ht="15.75" thickBot="1">
      <c r="A36" s="3">
        <v>0.48</v>
      </c>
      <c r="B36" s="3">
        <v>0.80640000000000001</v>
      </c>
      <c r="C36" s="3">
        <v>0.15359999999999999</v>
      </c>
      <c r="D36" s="3">
        <v>0</v>
      </c>
      <c r="E36" s="3">
        <v>0.04</v>
      </c>
      <c r="F36" s="3">
        <v>0</v>
      </c>
      <c r="G36" s="3">
        <v>0</v>
      </c>
      <c r="H36" s="3">
        <v>0</v>
      </c>
      <c r="I36" s="3">
        <v>0</v>
      </c>
      <c r="J36" s="3">
        <v>0.97119999999999995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2.8799999999999999E-2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4">
        <v>0</v>
      </c>
      <c r="Y36" s="3">
        <v>30.712319999999998</v>
      </c>
      <c r="Z36" s="3">
        <v>14.631679999999999</v>
      </c>
      <c r="AA36" s="3">
        <v>1.912976</v>
      </c>
      <c r="AB36" s="3">
        <v>1.8648960000000001</v>
      </c>
      <c r="AC36" s="3">
        <v>37.818975999999999</v>
      </c>
      <c r="AD36" s="3">
        <v>10.645472</v>
      </c>
      <c r="AE36" s="3">
        <v>3.7907039999999999</v>
      </c>
      <c r="AF36" s="3">
        <v>2.5851839999999999</v>
      </c>
      <c r="AG36" s="3">
        <v>8.5335199999999993</v>
      </c>
      <c r="AH36" s="3">
        <v>6.8279839999999998</v>
      </c>
      <c r="AI36" s="3">
        <v>177.586288</v>
      </c>
      <c r="AJ36" s="3">
        <v>75.695999999999998</v>
      </c>
      <c r="AK36" s="3">
        <f t="shared" si="0"/>
        <v>4.9112319999999992</v>
      </c>
      <c r="AL36" s="3">
        <f t="shared" si="1"/>
        <v>1.8082719999999999</v>
      </c>
      <c r="AM36" s="3">
        <f t="shared" si="2"/>
        <v>51.446998399999998</v>
      </c>
      <c r="AN36" s="3">
        <f t="shared" si="3"/>
        <v>13.582383999999999</v>
      </c>
      <c r="AO36" s="3">
        <f t="shared" si="4"/>
        <v>2.0783999999999998</v>
      </c>
      <c r="AP36" s="3">
        <f t="shared" si="5"/>
        <v>0.612016</v>
      </c>
      <c r="AQ36" s="3">
        <v>60</v>
      </c>
      <c r="AR36" s="3">
        <v>1</v>
      </c>
    </row>
    <row r="37" spans="1:44" ht="15.75" thickBot="1">
      <c r="A37" s="3">
        <v>0.40799999999999997</v>
      </c>
      <c r="B37" s="3">
        <v>0.376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0.2</v>
      </c>
      <c r="I37" s="3">
        <v>0</v>
      </c>
      <c r="J37" s="3">
        <v>0.94</v>
      </c>
      <c r="K37" s="3">
        <v>0.06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4">
        <v>0</v>
      </c>
      <c r="Y37" s="3">
        <v>20.024560000000001</v>
      </c>
      <c r="Z37" s="3">
        <v>14.798</v>
      </c>
      <c r="AA37" s="3">
        <v>1.4237599999999999</v>
      </c>
      <c r="AB37" s="3">
        <v>1.8504</v>
      </c>
      <c r="AC37" s="3">
        <v>25.267759999999999</v>
      </c>
      <c r="AD37" s="3">
        <v>10.60304</v>
      </c>
      <c r="AE37" s="3">
        <v>2.4915759999999998</v>
      </c>
      <c r="AF37" s="3">
        <v>2.5947</v>
      </c>
      <c r="AG37" s="3">
        <v>5.9448800000000004</v>
      </c>
      <c r="AH37" s="3">
        <v>6.8179999999999996</v>
      </c>
      <c r="AI37" s="3">
        <v>171.95132000000001</v>
      </c>
      <c r="AJ37" s="3">
        <v>72.28</v>
      </c>
      <c r="AK37" s="3">
        <f t="shared" si="0"/>
        <v>2.9904799999999998</v>
      </c>
      <c r="AL37" s="3">
        <f t="shared" si="1"/>
        <v>1.819</v>
      </c>
      <c r="AM37" s="3">
        <f t="shared" si="2"/>
        <v>26.593136000000001</v>
      </c>
      <c r="AN37" s="3">
        <f t="shared" si="3"/>
        <v>13.541799999999999</v>
      </c>
      <c r="AO37" s="3">
        <f t="shared" si="4"/>
        <v>1.39544</v>
      </c>
      <c r="AP37" s="3">
        <f t="shared" si="5"/>
        <v>0.61659999999999993</v>
      </c>
      <c r="AQ37" s="3">
        <v>100</v>
      </c>
      <c r="AR37" s="3">
        <v>1</v>
      </c>
    </row>
    <row r="38" spans="1:44" ht="15.75" thickBot="1">
      <c r="A38" s="3">
        <v>0.35699999999999998</v>
      </c>
      <c r="B38" s="3">
        <v>0.32900000000000001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0.3</v>
      </c>
      <c r="I38" s="3">
        <v>0</v>
      </c>
      <c r="J38" s="3">
        <v>0.91</v>
      </c>
      <c r="K38" s="3">
        <v>0.09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4">
        <v>0</v>
      </c>
      <c r="Y38" s="3">
        <v>22.483989999999999</v>
      </c>
      <c r="Z38" s="3">
        <v>14.897</v>
      </c>
      <c r="AA38" s="3">
        <v>1.38079</v>
      </c>
      <c r="AB38" s="3">
        <v>1.8455999999999999</v>
      </c>
      <c r="AC38" s="3">
        <v>26.879290000000001</v>
      </c>
      <c r="AD38" s="3">
        <v>10.58456</v>
      </c>
      <c r="AE38" s="3">
        <v>2.6053790000000001</v>
      </c>
      <c r="AF38" s="3">
        <v>2.6020500000000002</v>
      </c>
      <c r="AG38" s="3">
        <v>5.8530199999999999</v>
      </c>
      <c r="AH38" s="3">
        <v>6.8120000000000003</v>
      </c>
      <c r="AI38" s="3">
        <v>175.26177999999999</v>
      </c>
      <c r="AJ38" s="3">
        <v>73.67</v>
      </c>
      <c r="AK38" s="3">
        <f t="shared" si="0"/>
        <v>3.0354200000000002</v>
      </c>
      <c r="AL38" s="3">
        <f t="shared" si="1"/>
        <v>1.8235000000000001</v>
      </c>
      <c r="AM38" s="3">
        <f t="shared" si="2"/>
        <v>24.518993999999999</v>
      </c>
      <c r="AN38" s="3">
        <f t="shared" si="3"/>
        <v>13.527700000000001</v>
      </c>
      <c r="AO38" s="3">
        <f t="shared" si="4"/>
        <v>1.4222600000000001</v>
      </c>
      <c r="AP38" s="3">
        <f t="shared" si="5"/>
        <v>0.61990000000000001</v>
      </c>
      <c r="AQ38" s="3">
        <v>100</v>
      </c>
      <c r="AR38" s="3">
        <v>0.93</v>
      </c>
    </row>
    <row r="39" spans="1:44" ht="15.75" thickBot="1">
      <c r="A39" s="3">
        <v>0.30599999999999999</v>
      </c>
      <c r="B39" s="3">
        <v>0.28199999999999997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0.4</v>
      </c>
      <c r="I39" s="3">
        <v>0</v>
      </c>
      <c r="J39" s="3">
        <v>0.88</v>
      </c>
      <c r="K39" s="3">
        <v>0.12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4">
        <v>0</v>
      </c>
      <c r="Y39" s="3">
        <v>24.94342</v>
      </c>
      <c r="Z39" s="3">
        <v>14.996</v>
      </c>
      <c r="AA39" s="3">
        <v>1.33782</v>
      </c>
      <c r="AB39" s="3">
        <v>1.8408</v>
      </c>
      <c r="AC39" s="3">
        <v>28.490819999999999</v>
      </c>
      <c r="AD39" s="3">
        <v>10.566079999999999</v>
      </c>
      <c r="AE39" s="3">
        <v>2.719182</v>
      </c>
      <c r="AF39" s="3">
        <v>2.6093999999999999</v>
      </c>
      <c r="AG39" s="3">
        <v>5.7611600000000003</v>
      </c>
      <c r="AH39" s="3">
        <v>6.806</v>
      </c>
      <c r="AI39" s="3">
        <v>178.57223999999999</v>
      </c>
      <c r="AJ39" s="3">
        <v>75.06</v>
      </c>
      <c r="AK39" s="3">
        <f t="shared" si="0"/>
        <v>3.0803599999999998</v>
      </c>
      <c r="AL39" s="3">
        <f t="shared" si="1"/>
        <v>1.8280000000000001</v>
      </c>
      <c r="AM39" s="3">
        <f t="shared" si="2"/>
        <v>22.444851999999997</v>
      </c>
      <c r="AN39" s="3">
        <f t="shared" si="3"/>
        <v>13.5136</v>
      </c>
      <c r="AO39" s="3">
        <f t="shared" si="4"/>
        <v>1.4490800000000001</v>
      </c>
      <c r="AP39" s="3">
        <f t="shared" si="5"/>
        <v>0.62319999999999998</v>
      </c>
      <c r="AQ39" s="3">
        <v>100</v>
      </c>
      <c r="AR39" s="3">
        <v>0.71</v>
      </c>
    </row>
    <row r="40" spans="1:44" ht="15.75" thickBot="1">
      <c r="A40" s="3">
        <v>0.255</v>
      </c>
      <c r="B40" s="3">
        <v>0.23499999999999999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0.5</v>
      </c>
      <c r="I40" s="3">
        <v>0</v>
      </c>
      <c r="J40" s="3">
        <v>0.85</v>
      </c>
      <c r="K40" s="3">
        <v>0.15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27.402850000000001</v>
      </c>
      <c r="Z40" s="3">
        <v>15.095000000000001</v>
      </c>
      <c r="AA40" s="3">
        <v>1.2948500000000001</v>
      </c>
      <c r="AB40" s="3">
        <v>1.8360000000000001</v>
      </c>
      <c r="AC40" s="3">
        <v>30.102350000000001</v>
      </c>
      <c r="AD40" s="3">
        <v>10.547599999999999</v>
      </c>
      <c r="AE40" s="3">
        <v>2.8329849999999999</v>
      </c>
      <c r="AF40" s="3">
        <v>2.6167500000000001</v>
      </c>
      <c r="AG40" s="3">
        <v>5.6692999999999998</v>
      </c>
      <c r="AH40" s="3">
        <v>6.8</v>
      </c>
      <c r="AI40" s="3">
        <v>181.8827</v>
      </c>
      <c r="AJ40" s="3">
        <v>76.45</v>
      </c>
      <c r="AK40" s="3">
        <f t="shared" si="0"/>
        <v>3.1253000000000002</v>
      </c>
      <c r="AL40" s="3">
        <f t="shared" si="1"/>
        <v>1.8325</v>
      </c>
      <c r="AM40" s="3">
        <f t="shared" si="2"/>
        <v>20.370709999999999</v>
      </c>
      <c r="AN40" s="3">
        <f t="shared" si="3"/>
        <v>13.499499999999999</v>
      </c>
      <c r="AO40" s="3">
        <f t="shared" si="4"/>
        <v>1.4759000000000002</v>
      </c>
      <c r="AP40" s="3">
        <f t="shared" si="5"/>
        <v>0.62649999999999995</v>
      </c>
      <c r="AQ40" s="3">
        <v>100</v>
      </c>
      <c r="AR40" s="3">
        <v>0.56000000000000005</v>
      </c>
    </row>
    <row r="41" spans="1:44" ht="15.75" thickBot="1">
      <c r="A41" s="3">
        <v>0.35</v>
      </c>
      <c r="B41" s="3">
        <v>0.35</v>
      </c>
      <c r="C41" s="3">
        <v>0.3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23.9465</v>
      </c>
      <c r="Z41" s="3">
        <v>14.6</v>
      </c>
      <c r="AA41" s="3">
        <v>1.3005</v>
      </c>
      <c r="AB41" s="3">
        <v>1.86</v>
      </c>
      <c r="AC41" s="3">
        <v>29.563500000000001</v>
      </c>
      <c r="AD41" s="3">
        <v>10.64</v>
      </c>
      <c r="AE41" s="3">
        <v>2.7334499999999999</v>
      </c>
      <c r="AF41" s="3">
        <v>2.58</v>
      </c>
      <c r="AG41" s="3">
        <v>5.649</v>
      </c>
      <c r="AH41" s="3">
        <v>6.83</v>
      </c>
      <c r="AI41" s="3">
        <v>140.82400000000001</v>
      </c>
      <c r="AJ41" s="3">
        <v>60.6</v>
      </c>
      <c r="AK41" s="3">
        <f t="shared" si="0"/>
        <v>3.4729999999999999</v>
      </c>
      <c r="AL41" s="3">
        <f t="shared" si="1"/>
        <v>1.81</v>
      </c>
      <c r="AM41" s="3">
        <f t="shared" si="2"/>
        <v>31.884099999999997</v>
      </c>
      <c r="AN41" s="3">
        <f t="shared" si="3"/>
        <v>13.57</v>
      </c>
      <c r="AO41" s="3">
        <f t="shared" si="4"/>
        <v>1.4509999999999998</v>
      </c>
      <c r="AP41" s="3">
        <f t="shared" si="5"/>
        <v>0.61</v>
      </c>
      <c r="AQ41" s="3">
        <v>65</v>
      </c>
      <c r="AR41" s="3">
        <v>0.65</v>
      </c>
    </row>
    <row r="42" spans="1:44" ht="15.75" thickBot="1">
      <c r="A42" s="3">
        <v>0.435</v>
      </c>
      <c r="B42" s="3">
        <v>0.315</v>
      </c>
      <c r="C42" s="3">
        <v>0</v>
      </c>
      <c r="D42" s="3">
        <v>0</v>
      </c>
      <c r="E42" s="3">
        <v>0.25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17.713650000000001</v>
      </c>
      <c r="Z42" s="3">
        <v>14.6</v>
      </c>
      <c r="AA42" s="3">
        <v>1.4937499999999999</v>
      </c>
      <c r="AB42" s="3">
        <v>1.86</v>
      </c>
      <c r="AC42" s="3">
        <v>25.245550000000001</v>
      </c>
      <c r="AD42" s="3">
        <v>10.64</v>
      </c>
      <c r="AE42" s="3">
        <v>2.5059450000000001</v>
      </c>
      <c r="AF42" s="3">
        <v>2.58</v>
      </c>
      <c r="AG42" s="3">
        <v>6.2084000000000001</v>
      </c>
      <c r="AH42" s="3">
        <v>6.83</v>
      </c>
      <c r="AI42" s="3">
        <v>168.07</v>
      </c>
      <c r="AJ42" s="3">
        <v>71.069999999999993</v>
      </c>
      <c r="AK42" s="3">
        <f t="shared" si="0"/>
        <v>2.8836999999999997</v>
      </c>
      <c r="AL42" s="3">
        <f t="shared" si="1"/>
        <v>1.81</v>
      </c>
      <c r="AM42" s="3">
        <f t="shared" si="2"/>
        <v>24.917090000000002</v>
      </c>
      <c r="AN42" s="3">
        <f t="shared" si="3"/>
        <v>13.57</v>
      </c>
      <c r="AO42" s="3">
        <f t="shared" si="4"/>
        <v>1.3851</v>
      </c>
      <c r="AP42" s="3">
        <f t="shared" si="5"/>
        <v>0.61</v>
      </c>
      <c r="AQ42" s="3">
        <v>535</v>
      </c>
      <c r="AR42" s="3">
        <v>5.63</v>
      </c>
    </row>
    <row r="43" spans="1:44" ht="15.75" thickBot="1">
      <c r="A43" s="3">
        <v>0.375</v>
      </c>
      <c r="B43" s="3">
        <v>0.375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0.25</v>
      </c>
      <c r="I43" s="3">
        <v>0</v>
      </c>
      <c r="J43" s="3">
        <v>0.75</v>
      </c>
      <c r="K43" s="3">
        <v>0.25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21.741250000000001</v>
      </c>
      <c r="Z43" s="3">
        <v>15.425000000000001</v>
      </c>
      <c r="AA43" s="3">
        <v>1.40625</v>
      </c>
      <c r="AB43" s="3">
        <v>1.82</v>
      </c>
      <c r="AC43" s="3">
        <v>26.44875</v>
      </c>
      <c r="AD43" s="3">
        <v>10.486000000000001</v>
      </c>
      <c r="AE43" s="3">
        <v>2.5931250000000001</v>
      </c>
      <c r="AF43" s="3">
        <v>2.6412499999999999</v>
      </c>
      <c r="AG43" s="3">
        <v>5.96</v>
      </c>
      <c r="AH43" s="3">
        <v>6.78</v>
      </c>
      <c r="AI43" s="3">
        <v>179.89750000000001</v>
      </c>
      <c r="AJ43" s="3">
        <v>75.75</v>
      </c>
      <c r="AK43" s="3">
        <f t="shared" si="0"/>
        <v>3.0799999999999996</v>
      </c>
      <c r="AL43" s="3">
        <f t="shared" si="1"/>
        <v>1.8474999999999999</v>
      </c>
      <c r="AM43" s="3">
        <f t="shared" si="2"/>
        <v>26.49475</v>
      </c>
      <c r="AN43" s="3">
        <f t="shared" si="3"/>
        <v>13.452500000000001</v>
      </c>
      <c r="AO43" s="3">
        <f t="shared" si="4"/>
        <v>1.4300000000000002</v>
      </c>
      <c r="AP43" s="3">
        <f t="shared" si="5"/>
        <v>0.63749999999999996</v>
      </c>
      <c r="AQ43" s="3">
        <v>127</v>
      </c>
      <c r="AR43" s="3">
        <v>1.56</v>
      </c>
    </row>
    <row r="44" spans="1:44" ht="15.75" thickBot="1">
      <c r="A44" s="3">
        <v>0.42499999999999999</v>
      </c>
      <c r="B44" s="3">
        <v>0.42499999999999999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0.15</v>
      </c>
      <c r="I44" s="3">
        <v>0</v>
      </c>
      <c r="J44" s="3">
        <v>0.85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0.15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19.34675</v>
      </c>
      <c r="Z44" s="3">
        <v>14.84</v>
      </c>
      <c r="AA44" s="3">
        <v>1.4497500000000001</v>
      </c>
      <c r="AB44" s="3">
        <v>1.8405</v>
      </c>
      <c r="AC44" s="3">
        <v>24.887250000000002</v>
      </c>
      <c r="AD44" s="3">
        <v>11.06</v>
      </c>
      <c r="AE44" s="3">
        <v>2.4852750000000001</v>
      </c>
      <c r="AF44" s="3">
        <v>2.6295000000000002</v>
      </c>
      <c r="AG44" s="3">
        <v>6.06</v>
      </c>
      <c r="AH44" s="3">
        <v>6.8285</v>
      </c>
      <c r="AI44" s="3">
        <v>187.01050000000001</v>
      </c>
      <c r="AJ44" s="3">
        <v>77.849999999999994</v>
      </c>
      <c r="AK44" s="3">
        <f t="shared" si="0"/>
        <v>3.044</v>
      </c>
      <c r="AL44" s="3">
        <f t="shared" si="1"/>
        <v>1.8205</v>
      </c>
      <c r="AM44" s="3">
        <f t="shared" si="2"/>
        <v>28.694050000000001</v>
      </c>
      <c r="AN44" s="3">
        <f t="shared" si="3"/>
        <v>13.7845</v>
      </c>
      <c r="AO44" s="3">
        <f t="shared" si="4"/>
        <v>1.4059999999999999</v>
      </c>
      <c r="AP44" s="3">
        <f t="shared" si="5"/>
        <v>0.625</v>
      </c>
      <c r="AQ44" s="3">
        <v>175</v>
      </c>
      <c r="AR44" s="3">
        <v>2.1</v>
      </c>
    </row>
    <row r="45" spans="1:44" ht="15.75" thickBot="1">
      <c r="A45" s="3">
        <v>0.45</v>
      </c>
      <c r="B45" s="3">
        <v>0.45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0.9</v>
      </c>
      <c r="K45" s="3">
        <v>0</v>
      </c>
      <c r="L45" s="3">
        <v>0</v>
      </c>
      <c r="M45" s="3">
        <v>0.1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0.1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16.612500000000001</v>
      </c>
      <c r="Z45" s="3">
        <v>14.45</v>
      </c>
      <c r="AA45" s="3">
        <v>1.4535</v>
      </c>
      <c r="AB45" s="3">
        <v>1.8680000000000001</v>
      </c>
      <c r="AC45" s="3">
        <v>21.592500000000001</v>
      </c>
      <c r="AD45" s="3">
        <v>10.661</v>
      </c>
      <c r="AE45" s="3">
        <v>2.2521499999999999</v>
      </c>
      <c r="AF45" s="3">
        <v>2.601</v>
      </c>
      <c r="AG45" s="3">
        <v>6.1280000000000001</v>
      </c>
      <c r="AH45" s="3">
        <v>6.9020000000000001</v>
      </c>
      <c r="AI45" s="3">
        <v>166.33199999999999</v>
      </c>
      <c r="AJ45" s="3">
        <v>69.7</v>
      </c>
      <c r="AK45" s="3">
        <f t="shared" si="0"/>
        <v>2.9969999999999999</v>
      </c>
      <c r="AL45" s="3">
        <f t="shared" si="1"/>
        <v>1.7989999999999999</v>
      </c>
      <c r="AM45" s="3">
        <f t="shared" si="2"/>
        <v>36.357700000000001</v>
      </c>
      <c r="AN45" s="3">
        <f t="shared" si="3"/>
        <v>13.830000000000002</v>
      </c>
      <c r="AO45" s="3">
        <f t="shared" si="4"/>
        <v>1.3520000000000001</v>
      </c>
      <c r="AP45" s="3">
        <f t="shared" si="5"/>
        <v>0.61699999999999999</v>
      </c>
      <c r="AQ45" s="3">
        <v>200</v>
      </c>
      <c r="AR45" s="3">
        <v>3.1</v>
      </c>
    </row>
    <row r="46" spans="1:44" ht="15.75" thickBot="1">
      <c r="A46" s="3">
        <v>0.25</v>
      </c>
      <c r="B46" s="3">
        <v>0.25</v>
      </c>
      <c r="C46" s="3">
        <v>0</v>
      </c>
      <c r="D46" s="3">
        <v>0</v>
      </c>
      <c r="E46" s="3">
        <v>0.5</v>
      </c>
      <c r="F46" s="3">
        <v>0</v>
      </c>
      <c r="G46" s="3">
        <v>0</v>
      </c>
      <c r="H46" s="3">
        <v>0</v>
      </c>
      <c r="I46" s="3">
        <v>0</v>
      </c>
      <c r="J46" s="3">
        <v>0.8</v>
      </c>
      <c r="K46" s="3">
        <v>0</v>
      </c>
      <c r="L46" s="3">
        <v>0.2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21.677499999999998</v>
      </c>
      <c r="Z46" s="3">
        <v>13.247999999999999</v>
      </c>
      <c r="AA46" s="3">
        <v>1.3225</v>
      </c>
      <c r="AB46" s="3">
        <v>1.8640000000000001</v>
      </c>
      <c r="AC46" s="3">
        <v>28.2425</v>
      </c>
      <c r="AD46" s="3">
        <v>11.77</v>
      </c>
      <c r="AE46" s="3">
        <v>2.76675</v>
      </c>
      <c r="AF46" s="3">
        <v>2.44</v>
      </c>
      <c r="AG46" s="3">
        <v>5.95</v>
      </c>
      <c r="AH46" s="3">
        <v>6.9320000000000004</v>
      </c>
      <c r="AI46" s="3">
        <v>164.28</v>
      </c>
      <c r="AJ46" s="3">
        <v>70.099999999999994</v>
      </c>
      <c r="AK46" s="3">
        <f t="shared" si="0"/>
        <v>2.9550000000000001</v>
      </c>
      <c r="AL46" s="3">
        <f t="shared" si="1"/>
        <v>1.9080000000000001</v>
      </c>
      <c r="AM46" s="3">
        <f t="shared" si="2"/>
        <v>21.511500000000002</v>
      </c>
      <c r="AN46" s="3">
        <f t="shared" si="3"/>
        <v>13.782000000000002</v>
      </c>
      <c r="AO46" s="3">
        <f t="shared" si="4"/>
        <v>1.405</v>
      </c>
      <c r="AP46" s="3">
        <f t="shared" si="5"/>
        <v>0.626</v>
      </c>
      <c r="AQ46" s="3">
        <v>310</v>
      </c>
      <c r="AR46" s="3">
        <v>3.4</v>
      </c>
    </row>
    <row r="47" spans="1:44" ht="15.75" thickBot="1">
      <c r="A47" s="3">
        <v>0.25</v>
      </c>
      <c r="B47" s="3">
        <v>0.25</v>
      </c>
      <c r="C47" s="3">
        <v>0</v>
      </c>
      <c r="D47" s="3">
        <v>7.4999999999999997E-2</v>
      </c>
      <c r="E47" s="3">
        <v>0</v>
      </c>
      <c r="F47" s="3">
        <v>0</v>
      </c>
      <c r="G47" s="3">
        <v>0</v>
      </c>
      <c r="H47" s="3">
        <v>0.42499999999999999</v>
      </c>
      <c r="I47" s="3">
        <v>0</v>
      </c>
      <c r="J47" s="3">
        <v>0.95</v>
      </c>
      <c r="K47" s="3">
        <v>0.05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26.46</v>
      </c>
      <c r="Z47" s="3">
        <v>14.765000000000001</v>
      </c>
      <c r="AA47" s="3">
        <v>1.3042499999999999</v>
      </c>
      <c r="AB47" s="3">
        <v>1.8520000000000001</v>
      </c>
      <c r="AC47" s="3">
        <v>29.455500000000001</v>
      </c>
      <c r="AD47" s="3">
        <v>10.6092</v>
      </c>
      <c r="AE47" s="3">
        <v>2.8325999999999998</v>
      </c>
      <c r="AF47" s="3">
        <v>2.5922499999999999</v>
      </c>
      <c r="AG47" s="3">
        <v>5.7774999999999999</v>
      </c>
      <c r="AH47" s="3">
        <v>6.82</v>
      </c>
      <c r="AI47" s="3">
        <v>169.642</v>
      </c>
      <c r="AJ47" s="3">
        <v>71.7</v>
      </c>
      <c r="AK47" s="3">
        <f t="shared" si="0"/>
        <v>3.1212500000000003</v>
      </c>
      <c r="AL47" s="3">
        <f t="shared" si="1"/>
        <v>1.8175000000000001</v>
      </c>
      <c r="AM47" s="3">
        <f t="shared" si="2"/>
        <v>21.136749999999999</v>
      </c>
      <c r="AN47" s="3">
        <f t="shared" si="3"/>
        <v>13.546499999999998</v>
      </c>
      <c r="AO47" s="3">
        <f t="shared" si="4"/>
        <v>1.4697500000000001</v>
      </c>
      <c r="AP47" s="3">
        <f t="shared" si="5"/>
        <v>0.61550000000000005</v>
      </c>
      <c r="AQ47" s="3">
        <v>110</v>
      </c>
      <c r="AR47" s="3">
        <v>0.95</v>
      </c>
    </row>
    <row r="48" spans="1:44" ht="15.75" thickBot="1">
      <c r="A48" s="3">
        <v>0.33500000000000002</v>
      </c>
      <c r="B48" s="3">
        <v>0.33500000000000002</v>
      </c>
      <c r="C48" s="3">
        <v>0</v>
      </c>
      <c r="D48" s="3">
        <v>0</v>
      </c>
      <c r="E48" s="3">
        <v>0.23100000000000001</v>
      </c>
      <c r="F48" s="3">
        <v>0</v>
      </c>
      <c r="G48" s="3">
        <v>0</v>
      </c>
      <c r="H48" s="3">
        <v>0</v>
      </c>
      <c r="I48" s="3">
        <v>6.6000000000000003E-2</v>
      </c>
      <c r="J48" s="3">
        <v>0.95050000000000001</v>
      </c>
      <c r="K48" s="3">
        <v>4.9500000000000002E-2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18.98405</v>
      </c>
      <c r="Z48" s="3">
        <v>14.763350000000001</v>
      </c>
      <c r="AA48" s="3">
        <v>1.3651800000000001</v>
      </c>
      <c r="AB48" s="3">
        <v>1.8520799999999999</v>
      </c>
      <c r="AC48" s="3">
        <v>24.423030000000001</v>
      </c>
      <c r="AD48" s="3">
        <v>10.609508</v>
      </c>
      <c r="AE48" s="3">
        <v>2.5015350000000001</v>
      </c>
      <c r="AF48" s="3">
        <v>2.5921275000000001</v>
      </c>
      <c r="AG48" s="3">
        <v>5.8427100000000003</v>
      </c>
      <c r="AH48" s="3">
        <v>6.8201000000000001</v>
      </c>
      <c r="AI48" s="3">
        <v>157.20542499999999</v>
      </c>
      <c r="AJ48" s="3">
        <v>66.921000000000006</v>
      </c>
      <c r="AK48" s="3">
        <f t="shared" si="0"/>
        <v>2.8375400000000006</v>
      </c>
      <c r="AL48" s="3">
        <f t="shared" si="1"/>
        <v>1.8174250000000001</v>
      </c>
      <c r="AM48" s="3">
        <f t="shared" si="2"/>
        <v>24.713200000000001</v>
      </c>
      <c r="AN48" s="3">
        <f t="shared" si="3"/>
        <v>13.546735</v>
      </c>
      <c r="AO48" s="3">
        <f t="shared" si="4"/>
        <v>1.3403</v>
      </c>
      <c r="AP48" s="3">
        <f t="shared" si="5"/>
        <v>0.61544500000000002</v>
      </c>
      <c r="AQ48" s="3">
        <v>360</v>
      </c>
      <c r="AR48" s="3">
        <v>5.09</v>
      </c>
    </row>
    <row r="49" spans="1:44" ht="15.75" thickBot="1">
      <c r="A49" s="3">
        <v>0.39250000000000002</v>
      </c>
      <c r="B49" s="3">
        <v>0.29249999999999998</v>
      </c>
      <c r="C49" s="3">
        <v>0</v>
      </c>
      <c r="D49" s="3">
        <v>0</v>
      </c>
      <c r="E49" s="3">
        <v>0.315</v>
      </c>
      <c r="F49" s="3">
        <v>0</v>
      </c>
      <c r="G49" s="3">
        <v>0</v>
      </c>
      <c r="H49" s="3">
        <v>0</v>
      </c>
      <c r="I49" s="3">
        <v>0</v>
      </c>
      <c r="J49" s="3">
        <v>0.9</v>
      </c>
      <c r="K49" s="3">
        <v>0.05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0.05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18.650675</v>
      </c>
      <c r="Z49" s="3">
        <v>14.565</v>
      </c>
      <c r="AA49" s="3">
        <v>1.4562250000000001</v>
      </c>
      <c r="AB49" s="3">
        <v>1.8245</v>
      </c>
      <c r="AC49" s="3">
        <v>26.010925</v>
      </c>
      <c r="AD49" s="3">
        <v>10.777200000000001</v>
      </c>
      <c r="AE49" s="3">
        <v>2.5700975000000001</v>
      </c>
      <c r="AF49" s="3">
        <v>2.5647500000000001</v>
      </c>
      <c r="AG49" s="3">
        <v>6.1532</v>
      </c>
      <c r="AH49" s="3">
        <v>6.8605</v>
      </c>
      <c r="AI49" s="3">
        <v>165.28380000000001</v>
      </c>
      <c r="AJ49" s="3">
        <v>70.165000000000006</v>
      </c>
      <c r="AK49" s="3">
        <f t="shared" si="0"/>
        <v>2.8939499999999998</v>
      </c>
      <c r="AL49" s="3">
        <f t="shared" si="1"/>
        <v>1.8420000000000001</v>
      </c>
      <c r="AM49" s="3">
        <f t="shared" si="2"/>
        <v>23.860355000000002</v>
      </c>
      <c r="AN49" s="3">
        <f t="shared" si="3"/>
        <v>13.6195</v>
      </c>
      <c r="AO49" s="3">
        <f t="shared" si="4"/>
        <v>1.39005</v>
      </c>
      <c r="AP49" s="3">
        <f t="shared" si="5"/>
        <v>0.62100000000000011</v>
      </c>
      <c r="AQ49" s="3">
        <v>522</v>
      </c>
      <c r="AR49" s="3">
        <v>8.4600000000000009</v>
      </c>
    </row>
    <row r="50" spans="1:44" ht="15.75" thickBot="1">
      <c r="A50" s="3">
        <v>0.38540000000000002</v>
      </c>
      <c r="B50" s="3">
        <v>0.38540000000000002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4.9200000000000001E-2</v>
      </c>
      <c r="I50" s="3">
        <v>0.12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17.829194000000001</v>
      </c>
      <c r="Z50" s="3">
        <v>14.6</v>
      </c>
      <c r="AA50" s="3">
        <v>1.382898</v>
      </c>
      <c r="AB50" s="3">
        <v>1.86</v>
      </c>
      <c r="AC50" s="3">
        <v>21.941958</v>
      </c>
      <c r="AD50" s="3">
        <v>10.64</v>
      </c>
      <c r="AE50" s="3">
        <v>2.3279321999999998</v>
      </c>
      <c r="AF50" s="3">
        <v>2.58</v>
      </c>
      <c r="AG50" s="3">
        <v>5.7114000000000003</v>
      </c>
      <c r="AH50" s="3">
        <v>6.83</v>
      </c>
      <c r="AI50" s="3">
        <v>160.80006399999999</v>
      </c>
      <c r="AJ50" s="3">
        <v>67.822800000000001</v>
      </c>
      <c r="AK50" s="3">
        <f t="shared" si="0"/>
        <v>2.7599120000000004</v>
      </c>
      <c r="AL50" s="3">
        <f t="shared" si="1"/>
        <v>1.81</v>
      </c>
      <c r="AM50" s="3">
        <f t="shared" si="2"/>
        <v>26.479404400000004</v>
      </c>
      <c r="AN50" s="3">
        <f t="shared" si="3"/>
        <v>13.57</v>
      </c>
      <c r="AO50" s="3">
        <f t="shared" si="4"/>
        <v>1.298408</v>
      </c>
      <c r="AP50" s="3">
        <f t="shared" si="5"/>
        <v>0.61</v>
      </c>
      <c r="AQ50" s="3">
        <v>440</v>
      </c>
      <c r="AR50" s="3">
        <v>5.93</v>
      </c>
    </row>
    <row r="51" spans="1:44" ht="15.75" thickBot="1">
      <c r="A51" s="3">
        <v>0.316</v>
      </c>
      <c r="B51" s="3">
        <v>0.26</v>
      </c>
      <c r="C51" s="3">
        <v>0</v>
      </c>
      <c r="D51" s="3">
        <v>0.14000000000000001</v>
      </c>
      <c r="E51" s="3">
        <v>0.19600000000000001</v>
      </c>
      <c r="F51" s="3">
        <v>0</v>
      </c>
      <c r="G51" s="3">
        <v>0</v>
      </c>
      <c r="H51" s="3">
        <v>0</v>
      </c>
      <c r="I51" s="3">
        <v>0.04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18.4526</v>
      </c>
      <c r="Z51" s="3">
        <v>14.6</v>
      </c>
      <c r="AA51" s="3">
        <v>1.3469199999999999</v>
      </c>
      <c r="AB51" s="3">
        <v>1.86</v>
      </c>
      <c r="AC51" s="3">
        <v>24.1326</v>
      </c>
      <c r="AD51" s="3">
        <v>10.64</v>
      </c>
      <c r="AE51" s="3">
        <v>2.4924119999999998</v>
      </c>
      <c r="AF51" s="3">
        <v>2.58</v>
      </c>
      <c r="AG51" s="3">
        <v>5.8303200000000004</v>
      </c>
      <c r="AH51" s="3">
        <v>6.83</v>
      </c>
      <c r="AI51" s="3">
        <v>148.34128000000001</v>
      </c>
      <c r="AJ51" s="3">
        <v>63.616</v>
      </c>
      <c r="AK51" s="3">
        <f t="shared" si="0"/>
        <v>2.7279200000000001</v>
      </c>
      <c r="AL51" s="3">
        <f t="shared" si="1"/>
        <v>1.81</v>
      </c>
      <c r="AM51" s="3">
        <f t="shared" si="2"/>
        <v>21.83764</v>
      </c>
      <c r="AN51" s="3">
        <f t="shared" si="3"/>
        <v>13.57</v>
      </c>
      <c r="AO51" s="3">
        <f t="shared" si="4"/>
        <v>1.3122400000000001</v>
      </c>
      <c r="AP51" s="3">
        <f t="shared" si="5"/>
        <v>0.61</v>
      </c>
      <c r="AQ51" s="3">
        <v>660</v>
      </c>
      <c r="AR51" s="3">
        <v>8.3000000000000007</v>
      </c>
    </row>
    <row r="52" spans="1:44" ht="15.75" thickBot="1">
      <c r="A52" s="3">
        <v>0.42499999999999999</v>
      </c>
      <c r="B52" s="3">
        <v>0.42499999999999999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0.85</v>
      </c>
      <c r="K52" s="3">
        <v>0</v>
      </c>
      <c r="L52" s="3">
        <v>0</v>
      </c>
      <c r="M52" s="3">
        <v>7.4999999999999997E-2</v>
      </c>
      <c r="N52" s="3">
        <v>0</v>
      </c>
      <c r="O52" s="3">
        <v>0</v>
      </c>
      <c r="P52" s="3">
        <v>7.4999999999999997E-2</v>
      </c>
      <c r="Q52" s="3">
        <v>0</v>
      </c>
      <c r="R52" s="3">
        <v>0</v>
      </c>
      <c r="S52" s="3">
        <v>0</v>
      </c>
      <c r="T52" s="3">
        <v>0</v>
      </c>
      <c r="U52" s="3">
        <v>0.15</v>
      </c>
      <c r="V52" s="3">
        <v>0</v>
      </c>
      <c r="W52" s="3">
        <v>0</v>
      </c>
      <c r="X52" s="3">
        <v>0</v>
      </c>
      <c r="Y52" s="3">
        <v>14.40875</v>
      </c>
      <c r="Z52" s="3">
        <v>14.57</v>
      </c>
      <c r="AA52" s="3">
        <v>1.44825</v>
      </c>
      <c r="AB52" s="3">
        <v>1.8787499999999999</v>
      </c>
      <c r="AC52" s="3">
        <v>20.703749999999999</v>
      </c>
      <c r="AD52" s="3">
        <v>10.67</v>
      </c>
      <c r="AE52" s="3">
        <v>2.2914750000000002</v>
      </c>
      <c r="AF52" s="3">
        <v>2.6092499999999998</v>
      </c>
      <c r="AG52" s="3">
        <v>6.4139999999999997</v>
      </c>
      <c r="AH52" s="3">
        <v>6.8787500000000001</v>
      </c>
      <c r="AI52" s="3">
        <v>175.91425000000001</v>
      </c>
      <c r="AJ52" s="3">
        <v>74.25</v>
      </c>
      <c r="AK52" s="3">
        <f t="shared" si="0"/>
        <v>2.9765000000000001</v>
      </c>
      <c r="AL52" s="3">
        <f t="shared" si="1"/>
        <v>1.79725</v>
      </c>
      <c r="AM52" s="3">
        <f t="shared" si="2"/>
        <v>30.419050000000002</v>
      </c>
      <c r="AN52" s="3">
        <f t="shared" si="3"/>
        <v>13.79725</v>
      </c>
      <c r="AO52" s="3">
        <f t="shared" si="4"/>
        <v>1.3789999999999998</v>
      </c>
      <c r="AP52" s="3">
        <f t="shared" si="5"/>
        <v>0.62050000000000005</v>
      </c>
      <c r="AQ52" s="3">
        <v>510</v>
      </c>
      <c r="AR52" s="3">
        <v>6.6</v>
      </c>
    </row>
    <row r="53" spans="1:44" ht="15.75" thickBot="1">
      <c r="A53" s="3">
        <v>0.3</v>
      </c>
      <c r="B53" s="3">
        <v>0.3</v>
      </c>
      <c r="C53" s="3">
        <v>0</v>
      </c>
      <c r="D53" s="3">
        <v>0</v>
      </c>
      <c r="E53" s="3">
        <v>0.4</v>
      </c>
      <c r="F53" s="3">
        <v>0</v>
      </c>
      <c r="G53" s="3">
        <v>0</v>
      </c>
      <c r="H53" s="3">
        <v>0</v>
      </c>
      <c r="I53" s="3">
        <v>0</v>
      </c>
      <c r="J53" s="3">
        <v>0.98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0.01</v>
      </c>
      <c r="Q53" s="3">
        <v>0</v>
      </c>
      <c r="R53" s="3">
        <v>0</v>
      </c>
      <c r="S53" s="3">
        <v>0</v>
      </c>
      <c r="T53" s="3">
        <v>0.01</v>
      </c>
      <c r="U53" s="3">
        <v>0</v>
      </c>
      <c r="V53" s="3">
        <v>0</v>
      </c>
      <c r="W53" s="3">
        <v>0</v>
      </c>
      <c r="X53" s="3">
        <v>0</v>
      </c>
      <c r="Y53" s="3">
        <v>20.492999999999999</v>
      </c>
      <c r="Z53" s="3">
        <v>14.548999999999999</v>
      </c>
      <c r="AA53" s="3">
        <v>1.361</v>
      </c>
      <c r="AB53" s="3">
        <v>1.8597999999999999</v>
      </c>
      <c r="AC53" s="3">
        <v>27.103000000000002</v>
      </c>
      <c r="AD53" s="3">
        <v>10.606400000000001</v>
      </c>
      <c r="AE53" s="3">
        <v>2.6781000000000001</v>
      </c>
      <c r="AF53" s="3">
        <v>2.5771000000000002</v>
      </c>
      <c r="AG53" s="3">
        <v>6.0019999999999998</v>
      </c>
      <c r="AH53" s="3">
        <v>6.84</v>
      </c>
      <c r="AI53" s="3">
        <v>153.22730000000001</v>
      </c>
      <c r="AJ53" s="3">
        <v>65.63</v>
      </c>
      <c r="AK53" s="3">
        <f t="shared" si="0"/>
        <v>2.9619999999999997</v>
      </c>
      <c r="AL53" s="3">
        <f t="shared" si="1"/>
        <v>1.8029000000000002</v>
      </c>
      <c r="AM53" s="3">
        <f t="shared" si="2"/>
        <v>23.607799999999997</v>
      </c>
      <c r="AN53" s="3">
        <f t="shared" si="3"/>
        <v>13.6005</v>
      </c>
      <c r="AO53" s="3">
        <f t="shared" si="4"/>
        <v>1.3980000000000001</v>
      </c>
      <c r="AP53" s="3">
        <f t="shared" si="5"/>
        <v>0.61109999999999998</v>
      </c>
      <c r="AQ53" s="3">
        <v>170</v>
      </c>
      <c r="AR53" s="3">
        <v>2.72</v>
      </c>
    </row>
    <row r="54" spans="1:44" ht="15.75" thickBot="1">
      <c r="A54" s="3">
        <v>0.42</v>
      </c>
      <c r="B54" s="3">
        <v>0.378</v>
      </c>
      <c r="C54" s="3">
        <v>0</v>
      </c>
      <c r="D54" s="3">
        <v>0</v>
      </c>
      <c r="E54" s="3">
        <v>0.16</v>
      </c>
      <c r="F54" s="3">
        <v>0</v>
      </c>
      <c r="G54" s="3">
        <v>0</v>
      </c>
      <c r="H54" s="3">
        <v>0</v>
      </c>
      <c r="I54" s="3">
        <v>0</v>
      </c>
      <c r="J54" s="3">
        <v>0.84</v>
      </c>
      <c r="K54" s="3">
        <v>0</v>
      </c>
      <c r="L54" s="3">
        <v>0</v>
      </c>
      <c r="M54" s="3">
        <v>0.04</v>
      </c>
      <c r="N54" s="3">
        <v>0</v>
      </c>
      <c r="O54" s="3">
        <v>0.08</v>
      </c>
      <c r="P54" s="3">
        <v>0.04</v>
      </c>
      <c r="Q54" s="3">
        <v>0</v>
      </c>
      <c r="R54" s="3">
        <v>0</v>
      </c>
      <c r="S54" s="3">
        <v>4.2000000000000003E-2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17.65944</v>
      </c>
      <c r="Z54" s="3">
        <v>13.96</v>
      </c>
      <c r="AA54" s="3">
        <v>1.4538199999999999</v>
      </c>
      <c r="AB54" s="3">
        <v>1.8524</v>
      </c>
      <c r="AC54" s="3">
        <v>23.91628</v>
      </c>
      <c r="AD54" s="3">
        <v>10.604799999999999</v>
      </c>
      <c r="AE54" s="3">
        <v>2.4216600000000001</v>
      </c>
      <c r="AF54" s="3">
        <v>2.5232000000000001</v>
      </c>
      <c r="AG54" s="3">
        <v>6.1372999999999998</v>
      </c>
      <c r="AH54" s="3">
        <v>6.7880000000000003</v>
      </c>
      <c r="AI54" s="3">
        <v>164.20643999999999</v>
      </c>
      <c r="AJ54" s="3">
        <v>69.304000000000002</v>
      </c>
      <c r="AK54" s="3">
        <f t="shared" si="0"/>
        <v>2.9506600000000001</v>
      </c>
      <c r="AL54" s="3">
        <f t="shared" si="1"/>
        <v>1.8192000000000002</v>
      </c>
      <c r="AM54" s="3">
        <f t="shared" si="2"/>
        <v>29.829788000000001</v>
      </c>
      <c r="AN54" s="3">
        <f t="shared" si="3"/>
        <v>14.112</v>
      </c>
      <c r="AO54" s="3">
        <f t="shared" si="4"/>
        <v>1.3728</v>
      </c>
      <c r="AP54" s="3">
        <f t="shared" si="5"/>
        <v>0.61</v>
      </c>
      <c r="AQ54" s="3">
        <v>505</v>
      </c>
      <c r="AR54" s="3">
        <v>6.43</v>
      </c>
    </row>
    <row r="55" spans="1:44" ht="15.75" thickBot="1">
      <c r="A55" s="3">
        <v>0.5</v>
      </c>
      <c r="B55" s="3">
        <v>0.2</v>
      </c>
      <c r="C55" s="3">
        <v>0.24</v>
      </c>
      <c r="D55" s="3">
        <v>0</v>
      </c>
      <c r="E55" s="3">
        <v>0</v>
      </c>
      <c r="F55" s="3">
        <v>0.06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21.694400000000002</v>
      </c>
      <c r="Z55" s="3">
        <v>14.6</v>
      </c>
      <c r="AA55" s="3">
        <v>1.488</v>
      </c>
      <c r="AB55" s="3">
        <v>1.86</v>
      </c>
      <c r="AC55" s="3">
        <v>29.7822</v>
      </c>
      <c r="AD55" s="3">
        <v>10.64</v>
      </c>
      <c r="AE55" s="3">
        <v>2.6600999999999999</v>
      </c>
      <c r="AF55" s="3">
        <v>2.58</v>
      </c>
      <c r="AG55" s="3">
        <v>5.9603999999999999</v>
      </c>
      <c r="AH55" s="3">
        <v>6.83</v>
      </c>
      <c r="AI55" s="3">
        <v>171.48099999999999</v>
      </c>
      <c r="AJ55" s="3">
        <v>72.48</v>
      </c>
      <c r="AK55" s="3">
        <f t="shared" si="0"/>
        <v>3.2689999999999997</v>
      </c>
      <c r="AL55" s="3">
        <f t="shared" si="1"/>
        <v>1.81</v>
      </c>
      <c r="AM55" s="3">
        <f t="shared" si="2"/>
        <v>27.035800000000002</v>
      </c>
      <c r="AN55" s="3">
        <f t="shared" si="3"/>
        <v>13.57</v>
      </c>
      <c r="AO55" s="3">
        <f t="shared" si="4"/>
        <v>1.4498</v>
      </c>
      <c r="AP55" s="3">
        <f t="shared" si="5"/>
        <v>0.61</v>
      </c>
      <c r="AQ55" s="3">
        <v>110</v>
      </c>
      <c r="AR55" s="3">
        <v>0.62</v>
      </c>
    </row>
    <row r="56" spans="1:44" ht="15.75" thickBot="1">
      <c r="A56" s="3">
        <v>0.5</v>
      </c>
      <c r="B56" s="3">
        <v>0.2</v>
      </c>
      <c r="C56" s="3">
        <v>0.3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21.44</v>
      </c>
      <c r="Z56" s="3">
        <v>14.6</v>
      </c>
      <c r="AA56" s="3">
        <v>1.488</v>
      </c>
      <c r="AB56" s="3">
        <v>1.86</v>
      </c>
      <c r="AC56" s="3">
        <v>29.193000000000001</v>
      </c>
      <c r="AD56" s="3">
        <v>10.64</v>
      </c>
      <c r="AE56" s="3">
        <v>2.6355</v>
      </c>
      <c r="AF56" s="3">
        <v>2.58</v>
      </c>
      <c r="AG56" s="3">
        <v>5.97</v>
      </c>
      <c r="AH56" s="3">
        <v>6.83</v>
      </c>
      <c r="AI56" s="3">
        <v>168.72399999999999</v>
      </c>
      <c r="AJ56" s="3">
        <v>71.400000000000006</v>
      </c>
      <c r="AK56" s="3">
        <f t="shared" si="0"/>
        <v>3.2509999999999999</v>
      </c>
      <c r="AL56" s="3">
        <f t="shared" si="1"/>
        <v>1.81</v>
      </c>
      <c r="AM56" s="3">
        <f t="shared" si="2"/>
        <v>27.296199999999999</v>
      </c>
      <c r="AN56" s="3">
        <f t="shared" si="3"/>
        <v>13.57</v>
      </c>
      <c r="AO56" s="3">
        <f t="shared" si="4"/>
        <v>1.4450000000000001</v>
      </c>
      <c r="AP56" s="3">
        <f t="shared" si="5"/>
        <v>0.61</v>
      </c>
      <c r="AQ56" s="3">
        <v>79</v>
      </c>
      <c r="AR56" s="3">
        <v>0.5</v>
      </c>
    </row>
    <row r="57" spans="1:44" ht="15.75" thickBot="1">
      <c r="A57" s="3">
        <v>0.45</v>
      </c>
      <c r="B57" s="3">
        <v>0.28000000000000003</v>
      </c>
      <c r="C57" s="3">
        <v>0.27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0.9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0.1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21.707000000000001</v>
      </c>
      <c r="Z57" s="3">
        <v>14.71</v>
      </c>
      <c r="AA57" s="3">
        <v>1.4281999999999999</v>
      </c>
      <c r="AB57" s="3">
        <v>1.877</v>
      </c>
      <c r="AC57" s="3">
        <v>28.651700000000002</v>
      </c>
      <c r="AD57" s="3">
        <v>10.659000000000001</v>
      </c>
      <c r="AE57" s="3">
        <v>2.6369500000000001</v>
      </c>
      <c r="AF57" s="3">
        <v>2.5979999999999999</v>
      </c>
      <c r="AG57" s="3">
        <v>5.8869999999999996</v>
      </c>
      <c r="AH57" s="3">
        <v>6.8230000000000004</v>
      </c>
      <c r="AI57" s="3">
        <v>163.43960000000001</v>
      </c>
      <c r="AJ57" s="3">
        <v>69.459999999999994</v>
      </c>
      <c r="AK57" s="3">
        <f t="shared" si="0"/>
        <v>3.2988999999999997</v>
      </c>
      <c r="AL57" s="3">
        <f t="shared" si="1"/>
        <v>1.804</v>
      </c>
      <c r="AM57" s="3">
        <f t="shared" si="2"/>
        <v>29.295180000000002</v>
      </c>
      <c r="AN57" s="3">
        <f t="shared" si="3"/>
        <v>13.613000000000001</v>
      </c>
      <c r="AO57" s="3">
        <f t="shared" si="4"/>
        <v>1.4395</v>
      </c>
      <c r="AP57" s="3">
        <f t="shared" si="5"/>
        <v>0.61699999999999999</v>
      </c>
      <c r="AQ57" s="3">
        <v>98</v>
      </c>
      <c r="AR57" s="3">
        <v>0.51200000000000001</v>
      </c>
    </row>
    <row r="58" spans="1:44" ht="15.75" thickBot="1">
      <c r="A58" s="3">
        <v>0.4</v>
      </c>
      <c r="B58" s="3">
        <v>0.36</v>
      </c>
      <c r="C58" s="3">
        <v>0.24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0.8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0.2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21.974</v>
      </c>
      <c r="Z58" s="3">
        <v>14.82</v>
      </c>
      <c r="AA58" s="3">
        <v>1.3684000000000001</v>
      </c>
      <c r="AB58" s="3">
        <v>1.8939999999999999</v>
      </c>
      <c r="AC58" s="3">
        <v>28.110399999999998</v>
      </c>
      <c r="AD58" s="3">
        <v>10.678000000000001</v>
      </c>
      <c r="AE58" s="3">
        <v>2.6383999999999999</v>
      </c>
      <c r="AF58" s="3">
        <v>2.6160000000000001</v>
      </c>
      <c r="AG58" s="3">
        <v>5.8040000000000003</v>
      </c>
      <c r="AH58" s="3">
        <v>6.8159999999999998</v>
      </c>
      <c r="AI58" s="3">
        <v>158.15520000000001</v>
      </c>
      <c r="AJ58" s="3">
        <v>67.52</v>
      </c>
      <c r="AK58" s="3">
        <f t="shared" si="0"/>
        <v>3.3468</v>
      </c>
      <c r="AL58" s="3">
        <f t="shared" si="1"/>
        <v>1.7980000000000003</v>
      </c>
      <c r="AM58" s="3">
        <f t="shared" si="2"/>
        <v>31.294160000000002</v>
      </c>
      <c r="AN58" s="3">
        <f t="shared" si="3"/>
        <v>13.656000000000002</v>
      </c>
      <c r="AO58" s="3">
        <f t="shared" si="4"/>
        <v>1.4339999999999999</v>
      </c>
      <c r="AP58" s="3">
        <f t="shared" si="5"/>
        <v>0.624</v>
      </c>
      <c r="AQ58" s="3">
        <v>110</v>
      </c>
      <c r="AR58" s="3">
        <v>0.30299999999999999</v>
      </c>
    </row>
    <row r="59" spans="1:44" ht="15.75" thickBot="1">
      <c r="A59" s="3">
        <v>0.35</v>
      </c>
      <c r="B59" s="3">
        <v>0.44</v>
      </c>
      <c r="C59" s="3">
        <v>0.21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0.7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0.3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22.241</v>
      </c>
      <c r="Z59" s="3">
        <v>14.93</v>
      </c>
      <c r="AA59" s="3">
        <v>1.3086</v>
      </c>
      <c r="AB59" s="3">
        <v>1.911</v>
      </c>
      <c r="AC59" s="3">
        <v>27.569099999999999</v>
      </c>
      <c r="AD59" s="3">
        <v>10.696999999999999</v>
      </c>
      <c r="AE59" s="3">
        <v>2.63985</v>
      </c>
      <c r="AF59" s="3">
        <v>2.6339999999999999</v>
      </c>
      <c r="AG59" s="3">
        <v>5.7210000000000001</v>
      </c>
      <c r="AH59" s="3">
        <v>6.8090000000000002</v>
      </c>
      <c r="AI59" s="3">
        <v>152.8708</v>
      </c>
      <c r="AJ59" s="3">
        <v>65.58</v>
      </c>
      <c r="AK59" s="3">
        <f t="shared" si="0"/>
        <v>3.3946999999999998</v>
      </c>
      <c r="AL59" s="3">
        <f t="shared" si="1"/>
        <v>1.7919999999999998</v>
      </c>
      <c r="AM59" s="3">
        <f t="shared" si="2"/>
        <v>33.293140000000001</v>
      </c>
      <c r="AN59" s="3">
        <f t="shared" si="3"/>
        <v>13.698999999999998</v>
      </c>
      <c r="AO59" s="3">
        <f t="shared" si="4"/>
        <v>1.4284999999999999</v>
      </c>
      <c r="AP59" s="3">
        <f t="shared" si="5"/>
        <v>0.63100000000000001</v>
      </c>
      <c r="AQ59" s="3">
        <v>95</v>
      </c>
      <c r="AR59" s="3">
        <v>0.38100000000000001</v>
      </c>
    </row>
    <row r="60" spans="1:44" ht="15.75" thickBot="1">
      <c r="A60" s="3">
        <v>0.44</v>
      </c>
      <c r="B60" s="7">
        <v>0.2</v>
      </c>
      <c r="C60" s="3">
        <v>0.3</v>
      </c>
      <c r="D60" s="3">
        <v>0</v>
      </c>
      <c r="E60" s="3">
        <v>0</v>
      </c>
      <c r="F60" s="3">
        <v>0</v>
      </c>
      <c r="G60" s="3">
        <v>0.06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26.448</v>
      </c>
      <c r="Z60" s="3">
        <v>14.6</v>
      </c>
      <c r="AA60" s="3">
        <v>1.4106000000000001</v>
      </c>
      <c r="AB60" s="3">
        <v>1.86</v>
      </c>
      <c r="AC60" s="3">
        <v>34.084600000000002</v>
      </c>
      <c r="AD60" s="3">
        <v>10.64</v>
      </c>
      <c r="AE60" s="3">
        <v>2.96008</v>
      </c>
      <c r="AF60" s="3">
        <v>2.58</v>
      </c>
      <c r="AG60" s="3">
        <v>5.7134</v>
      </c>
      <c r="AH60" s="3">
        <v>6.83</v>
      </c>
      <c r="AI60" s="3">
        <v>168.5564</v>
      </c>
      <c r="AJ60" s="3">
        <v>71.8</v>
      </c>
      <c r="AK60" s="3">
        <f t="shared" si="0"/>
        <v>3.2533999999999996</v>
      </c>
      <c r="AL60" s="3">
        <f t="shared" si="1"/>
        <v>1.81</v>
      </c>
      <c r="AM60" s="3">
        <f t="shared" si="2"/>
        <v>26.969199999999997</v>
      </c>
      <c r="AN60" s="3">
        <f t="shared" si="3"/>
        <v>13.57</v>
      </c>
      <c r="AO60" s="3">
        <f t="shared" si="4"/>
        <v>1.421</v>
      </c>
      <c r="AP60" s="3">
        <f t="shared" si="5"/>
        <v>0.61</v>
      </c>
      <c r="AQ60" s="3">
        <v>155</v>
      </c>
      <c r="AR60" s="3">
        <v>1.3</v>
      </c>
    </row>
    <row r="61" spans="1:44" ht="15.75" thickBot="1">
      <c r="A61" s="3">
        <v>0.48</v>
      </c>
      <c r="B61" s="3">
        <v>0.2</v>
      </c>
      <c r="C61" s="3">
        <v>0.3</v>
      </c>
      <c r="D61" s="3">
        <v>0</v>
      </c>
      <c r="E61" s="3">
        <v>0</v>
      </c>
      <c r="F61" s="3">
        <v>0</v>
      </c>
      <c r="G61" s="3">
        <v>0.02</v>
      </c>
      <c r="H61" s="3">
        <v>0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21.846</v>
      </c>
      <c r="Z61" s="3">
        <v>14.6</v>
      </c>
      <c r="AA61" s="3">
        <v>1.4681999999999999</v>
      </c>
      <c r="AB61" s="3">
        <v>1.86</v>
      </c>
      <c r="AC61" s="3">
        <v>29.3462</v>
      </c>
      <c r="AD61" s="3">
        <v>10.64</v>
      </c>
      <c r="AE61" s="3">
        <v>2.6743600000000001</v>
      </c>
      <c r="AF61" s="3">
        <v>2.58</v>
      </c>
      <c r="AG61" s="3">
        <v>5.9378000000000002</v>
      </c>
      <c r="AH61" s="3">
        <v>6.83</v>
      </c>
      <c r="AI61" s="3">
        <v>167.6028</v>
      </c>
      <c r="AJ61" s="3">
        <v>71</v>
      </c>
      <c r="AK61" s="3">
        <f t="shared" si="0"/>
        <v>3.2517999999999998</v>
      </c>
      <c r="AL61" s="3">
        <f t="shared" si="1"/>
        <v>1.81</v>
      </c>
      <c r="AM61" s="3">
        <f t="shared" si="2"/>
        <v>27.187199999999997</v>
      </c>
      <c r="AN61" s="3">
        <f t="shared" si="3"/>
        <v>13.57</v>
      </c>
      <c r="AO61" s="3">
        <f t="shared" si="4"/>
        <v>1.4369999999999998</v>
      </c>
      <c r="AP61" s="3">
        <f t="shared" si="5"/>
        <v>0.61</v>
      </c>
      <c r="AQ61" s="3">
        <v>188</v>
      </c>
      <c r="AR61" s="3">
        <v>1.7</v>
      </c>
    </row>
    <row r="62" spans="1:44" ht="15.75" thickBot="1">
      <c r="A62" s="3">
        <v>0.3</v>
      </c>
      <c r="B62" s="3">
        <v>0.3</v>
      </c>
      <c r="C62" s="3">
        <v>0</v>
      </c>
      <c r="D62" s="3">
        <v>0</v>
      </c>
      <c r="E62" s="3">
        <v>0.4</v>
      </c>
      <c r="F62" s="3">
        <v>0</v>
      </c>
      <c r="G62" s="3">
        <v>0</v>
      </c>
      <c r="H62" s="3">
        <v>0</v>
      </c>
      <c r="I62" s="3">
        <v>0</v>
      </c>
      <c r="J62" s="3">
        <v>0.92</v>
      </c>
      <c r="K62" s="3">
        <v>0.08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20.492999999999999</v>
      </c>
      <c r="Z62" s="3">
        <v>14.864000000000001</v>
      </c>
      <c r="AA62" s="3">
        <v>1.361</v>
      </c>
      <c r="AB62" s="3">
        <v>1.8472</v>
      </c>
      <c r="AC62" s="3">
        <v>27.103000000000002</v>
      </c>
      <c r="AD62" s="3">
        <v>10.590719999999999</v>
      </c>
      <c r="AE62" s="3">
        <v>2.6781000000000001</v>
      </c>
      <c r="AF62" s="3">
        <v>2.5996000000000001</v>
      </c>
      <c r="AG62" s="3">
        <v>6.0019999999999998</v>
      </c>
      <c r="AH62" s="3">
        <v>6.8140000000000001</v>
      </c>
      <c r="AI62" s="3">
        <v>156.054</v>
      </c>
      <c r="AJ62" s="3">
        <v>66.84</v>
      </c>
      <c r="AK62" s="3">
        <f t="shared" si="0"/>
        <v>2.9619999999999997</v>
      </c>
      <c r="AL62" s="3">
        <f t="shared" si="1"/>
        <v>1.8220000000000001</v>
      </c>
      <c r="AM62" s="3">
        <f t="shared" si="2"/>
        <v>23.607799999999997</v>
      </c>
      <c r="AN62" s="3">
        <f t="shared" si="3"/>
        <v>13.532400000000001</v>
      </c>
      <c r="AO62" s="3">
        <f t="shared" si="4"/>
        <v>1.3980000000000001</v>
      </c>
      <c r="AP62" s="3">
        <f t="shared" si="5"/>
        <v>0.61880000000000002</v>
      </c>
      <c r="AQ62" s="3">
        <v>400</v>
      </c>
      <c r="AR62" s="3">
        <v>8</v>
      </c>
    </row>
    <row r="63" spans="1:44" ht="15.75" thickBot="1">
      <c r="A63" s="3">
        <v>0.2</v>
      </c>
      <c r="B63" s="3">
        <v>0.2</v>
      </c>
      <c r="C63" s="3">
        <v>0.2</v>
      </c>
      <c r="D63" s="3">
        <v>0.2</v>
      </c>
      <c r="E63" s="3">
        <v>0</v>
      </c>
      <c r="F63" s="3">
        <v>0</v>
      </c>
      <c r="G63" s="3">
        <v>0</v>
      </c>
      <c r="H63" s="3">
        <v>0.2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27.414000000000001</v>
      </c>
      <c r="Z63" s="3">
        <v>14.6</v>
      </c>
      <c r="AA63" s="3">
        <v>1.216</v>
      </c>
      <c r="AB63" s="3">
        <v>1.86</v>
      </c>
      <c r="AC63" s="3">
        <v>31.077999999999999</v>
      </c>
      <c r="AD63" s="3">
        <v>10.64</v>
      </c>
      <c r="AE63" s="3">
        <v>2.9478</v>
      </c>
      <c r="AF63" s="3">
        <v>2.58</v>
      </c>
      <c r="AG63" s="3">
        <v>5.6159999999999997</v>
      </c>
      <c r="AH63" s="3">
        <v>6.83</v>
      </c>
      <c r="AI63" s="3">
        <v>137.70599999999999</v>
      </c>
      <c r="AJ63" s="3">
        <v>59.8</v>
      </c>
      <c r="AK63" s="3">
        <f t="shared" si="0"/>
        <v>3.3259999999999996</v>
      </c>
      <c r="AL63" s="3">
        <f t="shared" si="1"/>
        <v>1.81</v>
      </c>
      <c r="AM63" s="3">
        <f t="shared" si="2"/>
        <v>23.497199999999999</v>
      </c>
      <c r="AN63" s="3">
        <f t="shared" si="3"/>
        <v>13.57</v>
      </c>
      <c r="AO63" s="3">
        <f t="shared" si="4"/>
        <v>1.4660000000000002</v>
      </c>
      <c r="AP63" s="3">
        <f t="shared" si="5"/>
        <v>0.61</v>
      </c>
      <c r="AQ63" s="3">
        <v>129</v>
      </c>
      <c r="AR63" s="3">
        <v>0.68400000000000005</v>
      </c>
    </row>
    <row r="64" spans="1:44" ht="15.75" thickBot="1">
      <c r="A64" s="3">
        <v>0.2</v>
      </c>
      <c r="B64" s="3">
        <v>0.2</v>
      </c>
      <c r="C64" s="3">
        <v>0.2</v>
      </c>
      <c r="D64" s="3">
        <v>0</v>
      </c>
      <c r="E64" s="3">
        <v>0.2</v>
      </c>
      <c r="F64" s="3">
        <v>0</v>
      </c>
      <c r="G64" s="3">
        <v>0</v>
      </c>
      <c r="H64" s="3">
        <v>0</v>
      </c>
      <c r="I64" s="3">
        <v>0.2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26.654</v>
      </c>
      <c r="Z64" s="3">
        <v>14.6</v>
      </c>
      <c r="AA64" s="3">
        <v>1.262</v>
      </c>
      <c r="AB64" s="3">
        <v>1.86</v>
      </c>
      <c r="AC64" s="3">
        <v>29.472000000000001</v>
      </c>
      <c r="AD64" s="3">
        <v>10.64</v>
      </c>
      <c r="AE64" s="3">
        <v>2.9253999999999998</v>
      </c>
      <c r="AF64" s="3">
        <v>2.58</v>
      </c>
      <c r="AG64" s="3">
        <v>5.6040000000000001</v>
      </c>
      <c r="AH64" s="3">
        <v>6.83</v>
      </c>
      <c r="AI64" s="3">
        <v>147.494</v>
      </c>
      <c r="AJ64" s="3">
        <v>63.6</v>
      </c>
      <c r="AK64" s="3">
        <f t="shared" si="0"/>
        <v>3.1839999999999997</v>
      </c>
      <c r="AL64" s="3">
        <f t="shared" si="1"/>
        <v>1.81</v>
      </c>
      <c r="AM64" s="3">
        <f t="shared" si="2"/>
        <v>23.5412</v>
      </c>
      <c r="AN64" s="3">
        <f t="shared" si="3"/>
        <v>13.57</v>
      </c>
      <c r="AO64" s="3">
        <f t="shared" si="4"/>
        <v>1.4360000000000002</v>
      </c>
      <c r="AP64" s="3">
        <f t="shared" si="5"/>
        <v>0.61</v>
      </c>
      <c r="AQ64" s="3">
        <v>180</v>
      </c>
      <c r="AR64" s="3">
        <v>0.95899999999999996</v>
      </c>
    </row>
    <row r="65" spans="1:44" ht="15.75" thickBot="1">
      <c r="A65" s="3">
        <v>0.2</v>
      </c>
      <c r="B65" s="3">
        <v>0.2</v>
      </c>
      <c r="C65" s="3">
        <v>0.2</v>
      </c>
      <c r="D65" s="3">
        <v>0</v>
      </c>
      <c r="E65" s="3">
        <v>0.2</v>
      </c>
      <c r="F65" s="3">
        <v>0</v>
      </c>
      <c r="G65" s="3">
        <v>0</v>
      </c>
      <c r="H65" s="3">
        <v>0</v>
      </c>
      <c r="I65" s="3">
        <v>0.2</v>
      </c>
      <c r="J65" s="3">
        <v>0.8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0.2</v>
      </c>
      <c r="W65" s="3">
        <v>0</v>
      </c>
      <c r="X65" s="3">
        <v>0</v>
      </c>
      <c r="Y65" s="3">
        <v>26.654</v>
      </c>
      <c r="Z65" s="3">
        <v>15.24</v>
      </c>
      <c r="AA65" s="3">
        <v>1.262</v>
      </c>
      <c r="AB65" s="3">
        <v>1.788</v>
      </c>
      <c r="AC65" s="3">
        <v>29.472000000000001</v>
      </c>
      <c r="AD65" s="3">
        <v>11.512</v>
      </c>
      <c r="AE65" s="3">
        <v>2.9253999999999998</v>
      </c>
      <c r="AF65" s="3">
        <v>2.6139999999999999</v>
      </c>
      <c r="AG65" s="3">
        <v>5.6040000000000001</v>
      </c>
      <c r="AH65" s="3">
        <v>6.7759999999999998</v>
      </c>
      <c r="AI65" s="3">
        <v>146.89599999999999</v>
      </c>
      <c r="AJ65" s="3">
        <v>63.4</v>
      </c>
      <c r="AK65" s="3">
        <f t="shared" si="0"/>
        <v>3.1839999999999997</v>
      </c>
      <c r="AL65" s="3">
        <f t="shared" si="1"/>
        <v>1.8900000000000001</v>
      </c>
      <c r="AM65" s="3">
        <f t="shared" si="2"/>
        <v>23.5412</v>
      </c>
      <c r="AN65" s="3">
        <f t="shared" si="3"/>
        <v>13.416000000000002</v>
      </c>
      <c r="AO65" s="3">
        <f t="shared" si="4"/>
        <v>1.4360000000000002</v>
      </c>
      <c r="AP65" s="3">
        <f t="shared" si="5"/>
        <v>0.63800000000000001</v>
      </c>
      <c r="AQ65" s="3">
        <v>220</v>
      </c>
      <c r="AR65" s="3">
        <v>1.0940000000000001</v>
      </c>
    </row>
    <row r="66" spans="1:44" ht="15.75" thickBot="1">
      <c r="A66" s="3">
        <v>0.2</v>
      </c>
      <c r="B66" s="3">
        <v>0.2</v>
      </c>
      <c r="C66" s="3">
        <v>0</v>
      </c>
      <c r="D66" s="3">
        <v>0.2</v>
      </c>
      <c r="E66" s="3">
        <v>0.2</v>
      </c>
      <c r="F66" s="3">
        <v>0</v>
      </c>
      <c r="G66" s="3">
        <v>0</v>
      </c>
      <c r="H66" s="3">
        <v>0.2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24.321999999999999</v>
      </c>
      <c r="Z66" s="3">
        <v>14.6</v>
      </c>
      <c r="AA66" s="3">
        <v>1.282</v>
      </c>
      <c r="AB66" s="3">
        <v>1.86</v>
      </c>
      <c r="AC66" s="3">
        <v>28.678000000000001</v>
      </c>
      <c r="AD66" s="3">
        <v>10.64</v>
      </c>
      <c r="AE66" s="3">
        <v>2.8517999999999999</v>
      </c>
      <c r="AF66" s="3">
        <v>2.58</v>
      </c>
      <c r="AG66" s="3">
        <v>5.8860000000000001</v>
      </c>
      <c r="AH66" s="3">
        <v>6.83</v>
      </c>
      <c r="AI66" s="3">
        <v>147.494</v>
      </c>
      <c r="AJ66" s="3">
        <v>63.6</v>
      </c>
      <c r="AK66" s="3">
        <f t="shared" si="0"/>
        <v>2.9899999999999998</v>
      </c>
      <c r="AL66" s="3">
        <f t="shared" si="1"/>
        <v>1.81</v>
      </c>
      <c r="AM66" s="3">
        <f t="shared" si="2"/>
        <v>19.377200000000002</v>
      </c>
      <c r="AN66" s="3">
        <f t="shared" si="3"/>
        <v>13.57</v>
      </c>
      <c r="AO66" s="3">
        <f t="shared" si="4"/>
        <v>1.4260000000000002</v>
      </c>
      <c r="AP66" s="3">
        <f t="shared" si="5"/>
        <v>0.61</v>
      </c>
      <c r="AQ66" s="3">
        <v>127</v>
      </c>
      <c r="AR66" s="3">
        <v>1.37</v>
      </c>
    </row>
    <row r="67" spans="1:44" ht="15.75" thickBot="1">
      <c r="A67" s="3">
        <v>0.4</v>
      </c>
      <c r="B67" s="3">
        <v>0.2</v>
      </c>
      <c r="C67" s="3">
        <v>0.2</v>
      </c>
      <c r="D67" s="3">
        <v>0</v>
      </c>
      <c r="E67" s="3">
        <v>0</v>
      </c>
      <c r="F67" s="3">
        <v>0</v>
      </c>
      <c r="G67" s="3">
        <v>0</v>
      </c>
      <c r="H67" s="3">
        <v>0.2</v>
      </c>
      <c r="I67" s="3">
        <v>0</v>
      </c>
      <c r="J67" s="3">
        <v>0.8</v>
      </c>
      <c r="K67" s="3">
        <v>0.2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24.334</v>
      </c>
      <c r="Z67" s="3">
        <v>15.26</v>
      </c>
      <c r="AA67" s="3">
        <v>1.41</v>
      </c>
      <c r="AB67" s="3">
        <v>1.8280000000000001</v>
      </c>
      <c r="AC67" s="3">
        <v>30.1</v>
      </c>
      <c r="AD67" s="3">
        <v>10.5168</v>
      </c>
      <c r="AE67" s="3">
        <v>2.7471999999999999</v>
      </c>
      <c r="AF67" s="3">
        <v>2.629</v>
      </c>
      <c r="AG67" s="3">
        <v>5.85</v>
      </c>
      <c r="AH67" s="3">
        <v>6.79</v>
      </c>
      <c r="AI67" s="3">
        <v>179.9</v>
      </c>
      <c r="AJ67" s="3">
        <v>76</v>
      </c>
      <c r="AK67" s="3">
        <f t="shared" ref="AK67:AK130" si="6">A67*2.25+B67*3.73+C67*4.6+D67*2.7+E67*2.92+F67*4.9+G67*2.29+H67*3.35+I67*2.42+S67*3.06+U67*2.9+X67*2.33</f>
        <v>3.2359999999999998</v>
      </c>
      <c r="AL67" s="3">
        <f t="shared" ref="AL67:AL130" si="7">J67*1.81+K67*1.96+L67*2.3+M67*1.7+N67*2.37+O67*2.01+P67*1.75+Q67*2.3+R67*1.88+T67*1.16+V67*2.21+W67*2.15</f>
        <v>1.8400000000000003</v>
      </c>
      <c r="AM67" s="3">
        <f t="shared" ref="AM67:AM130" si="8">A67*16.7+B67*47.286+C67*31.63+D67*11.87+E67*11.03+F67*27.29+G67*11.25+H67*10+I67*11.06+S67*75.64+U67*21.5+X67*11.07</f>
        <v>24.463200000000001</v>
      </c>
      <c r="AN67" s="3">
        <f t="shared" ref="AN67:AN130" si="9">J67*13.57+13.1*K67+L67*14.63+M67*16.17+N67*10.72+O67*18.83+P67*14+Q67*15.03+R67*15+T67*16.19+V67*12.8+W67*16.63</f>
        <v>13.476000000000003</v>
      </c>
      <c r="AO67" s="3">
        <f t="shared" ref="AO67:AO130" si="10">A67*1.35+B67*1.39+C67*1.64+D67*1.34+E67*1.44+F67*1.72+G67*0.95+H67*1.61+I67*1.36+S67*1.19+U67*1.43+X67*0.96</f>
        <v>1.4680000000000002</v>
      </c>
      <c r="AP67" s="3">
        <f t="shared" ref="AP67:AP130" si="11">J67*0.61+K67*0.72+L67*0.69+M67*0.68+N67*0.98+O67*0.54+P67*0.68+Q67*0.72+R67*0.71+T67*0.65+V67*0.75+W67*0.6</f>
        <v>0.63200000000000001</v>
      </c>
      <c r="AQ67" s="3">
        <v>224</v>
      </c>
      <c r="AR67" s="3">
        <v>2.4700000000000002</v>
      </c>
    </row>
    <row r="68" spans="1:44" ht="15.75" thickBot="1">
      <c r="A68" s="3">
        <v>0.2</v>
      </c>
      <c r="B68" s="3">
        <v>0.2</v>
      </c>
      <c r="C68" s="3">
        <v>0</v>
      </c>
      <c r="D68" s="3">
        <v>0.2</v>
      </c>
      <c r="E68" s="3">
        <v>0.2</v>
      </c>
      <c r="F68" s="3">
        <v>0</v>
      </c>
      <c r="G68" s="3">
        <v>0</v>
      </c>
      <c r="H68" s="3">
        <v>0.2</v>
      </c>
      <c r="I68" s="3">
        <v>0</v>
      </c>
      <c r="J68" s="3">
        <v>0.99</v>
      </c>
      <c r="K68" s="3">
        <v>0.01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24.321999999999999</v>
      </c>
      <c r="Z68" s="3">
        <v>14.632999999999999</v>
      </c>
      <c r="AA68" s="3">
        <v>1.282</v>
      </c>
      <c r="AB68" s="3">
        <v>1.8584000000000001</v>
      </c>
      <c r="AC68" s="3">
        <v>28.678000000000001</v>
      </c>
      <c r="AD68" s="3">
        <v>10.633839999999999</v>
      </c>
      <c r="AE68" s="3">
        <v>2.8517999999999999</v>
      </c>
      <c r="AF68" s="3">
        <v>2.5824500000000001</v>
      </c>
      <c r="AG68" s="3">
        <v>5.8860000000000001</v>
      </c>
      <c r="AH68" s="3">
        <v>6.8280000000000003</v>
      </c>
      <c r="AI68" s="3">
        <v>147.9135</v>
      </c>
      <c r="AJ68" s="3">
        <v>63.78</v>
      </c>
      <c r="AK68" s="3">
        <f t="shared" si="6"/>
        <v>2.9899999999999998</v>
      </c>
      <c r="AL68" s="3">
        <f t="shared" si="7"/>
        <v>1.8115000000000001</v>
      </c>
      <c r="AM68" s="3">
        <f t="shared" si="8"/>
        <v>19.377200000000002</v>
      </c>
      <c r="AN68" s="3">
        <f t="shared" si="9"/>
        <v>13.565300000000001</v>
      </c>
      <c r="AO68" s="3">
        <f t="shared" si="10"/>
        <v>1.4260000000000002</v>
      </c>
      <c r="AP68" s="3">
        <f t="shared" si="11"/>
        <v>0.61109999999999998</v>
      </c>
      <c r="AQ68" s="3">
        <v>161</v>
      </c>
      <c r="AR68" s="3">
        <v>1.87</v>
      </c>
    </row>
    <row r="69" spans="1:44" ht="15.75" thickBot="1">
      <c r="A69" s="3">
        <v>0.2</v>
      </c>
      <c r="B69" s="3">
        <v>0.2</v>
      </c>
      <c r="C69" s="3">
        <v>0</v>
      </c>
      <c r="D69" s="3">
        <v>0.2</v>
      </c>
      <c r="E69" s="3">
        <v>0.2</v>
      </c>
      <c r="F69" s="3">
        <v>0</v>
      </c>
      <c r="G69" s="3">
        <v>0</v>
      </c>
      <c r="H69" s="3">
        <v>0.2</v>
      </c>
      <c r="I69" s="3">
        <v>0</v>
      </c>
      <c r="J69" s="3">
        <v>0.97</v>
      </c>
      <c r="K69" s="3">
        <v>0.03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24.321999999999999</v>
      </c>
      <c r="Z69" s="3">
        <v>14.699</v>
      </c>
      <c r="AA69" s="3">
        <v>1.282</v>
      </c>
      <c r="AB69" s="3">
        <v>1.8552</v>
      </c>
      <c r="AC69" s="3">
        <v>28.678000000000001</v>
      </c>
      <c r="AD69" s="3">
        <v>10.62152</v>
      </c>
      <c r="AE69" s="3">
        <v>2.8517999999999999</v>
      </c>
      <c r="AF69" s="3">
        <v>2.5873499999999998</v>
      </c>
      <c r="AG69" s="3">
        <v>5.8860000000000001</v>
      </c>
      <c r="AH69" s="3">
        <v>6.8239999999999998</v>
      </c>
      <c r="AI69" s="3">
        <v>148.7525</v>
      </c>
      <c r="AJ69" s="3">
        <v>64.14</v>
      </c>
      <c r="AK69" s="3">
        <f t="shared" si="6"/>
        <v>2.9899999999999998</v>
      </c>
      <c r="AL69" s="3">
        <f t="shared" si="7"/>
        <v>1.8145</v>
      </c>
      <c r="AM69" s="3">
        <f t="shared" si="8"/>
        <v>19.377200000000002</v>
      </c>
      <c r="AN69" s="3">
        <f t="shared" si="9"/>
        <v>13.555900000000001</v>
      </c>
      <c r="AO69" s="3">
        <f t="shared" si="10"/>
        <v>1.4260000000000002</v>
      </c>
      <c r="AP69" s="3">
        <f t="shared" si="11"/>
        <v>0.61329999999999996</v>
      </c>
      <c r="AQ69" s="3">
        <v>238</v>
      </c>
      <c r="AR69" s="3">
        <v>2.5499999999999998</v>
      </c>
    </row>
    <row r="70" spans="1:44" ht="15.75" thickBot="1">
      <c r="A70" s="3">
        <v>0.2</v>
      </c>
      <c r="B70" s="3">
        <v>0.2</v>
      </c>
      <c r="C70" s="3">
        <v>0</v>
      </c>
      <c r="D70" s="3">
        <v>0.2</v>
      </c>
      <c r="E70" s="3">
        <v>0.2</v>
      </c>
      <c r="F70" s="3">
        <v>0</v>
      </c>
      <c r="G70" s="3">
        <v>0</v>
      </c>
      <c r="H70" s="3">
        <v>0.2</v>
      </c>
      <c r="I70" s="3">
        <v>0</v>
      </c>
      <c r="J70" s="3">
        <v>0.95</v>
      </c>
      <c r="K70" s="3">
        <v>0.05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24.321999999999999</v>
      </c>
      <c r="Z70" s="3">
        <v>14.765000000000001</v>
      </c>
      <c r="AA70" s="3">
        <v>1.282</v>
      </c>
      <c r="AB70" s="3">
        <v>1.8520000000000001</v>
      </c>
      <c r="AC70" s="3">
        <v>28.678000000000001</v>
      </c>
      <c r="AD70" s="3">
        <v>10.6092</v>
      </c>
      <c r="AE70" s="3">
        <v>2.8517999999999999</v>
      </c>
      <c r="AF70" s="3">
        <v>2.5922499999999999</v>
      </c>
      <c r="AG70" s="3">
        <v>5.8860000000000001</v>
      </c>
      <c r="AH70" s="3">
        <v>6.82</v>
      </c>
      <c r="AI70" s="3">
        <v>149.5915</v>
      </c>
      <c r="AJ70" s="3">
        <v>64.5</v>
      </c>
      <c r="AK70" s="3">
        <f t="shared" si="6"/>
        <v>2.9899999999999998</v>
      </c>
      <c r="AL70" s="3">
        <f t="shared" si="7"/>
        <v>1.8175000000000001</v>
      </c>
      <c r="AM70" s="3">
        <f t="shared" si="8"/>
        <v>19.377200000000002</v>
      </c>
      <c r="AN70" s="3">
        <f t="shared" si="9"/>
        <v>13.546499999999998</v>
      </c>
      <c r="AO70" s="3">
        <f t="shared" si="10"/>
        <v>1.4260000000000002</v>
      </c>
      <c r="AP70" s="3">
        <f t="shared" si="11"/>
        <v>0.61550000000000005</v>
      </c>
      <c r="AQ70" s="3">
        <v>307</v>
      </c>
      <c r="AR70" s="3">
        <v>3.03</v>
      </c>
    </row>
    <row r="71" spans="1:44" ht="15.75" thickBot="1">
      <c r="A71" s="3">
        <v>0.2</v>
      </c>
      <c r="B71" s="3">
        <v>0.2</v>
      </c>
      <c r="C71" s="3">
        <v>0</v>
      </c>
      <c r="D71" s="3">
        <v>0.3</v>
      </c>
      <c r="E71" s="3">
        <v>0.2</v>
      </c>
      <c r="F71" s="3">
        <v>0</v>
      </c>
      <c r="G71" s="3">
        <v>0</v>
      </c>
      <c r="H71" s="3">
        <v>0.2</v>
      </c>
      <c r="I71" s="3">
        <v>0</v>
      </c>
      <c r="J71" s="3">
        <v>0.9</v>
      </c>
      <c r="K71" s="3">
        <v>0.1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26.602</v>
      </c>
      <c r="Z71" s="3">
        <v>14.93</v>
      </c>
      <c r="AA71" s="3">
        <v>1.399</v>
      </c>
      <c r="AB71" s="3">
        <v>1.8440000000000001</v>
      </c>
      <c r="AC71" s="3">
        <v>31.297999999999998</v>
      </c>
      <c r="AD71" s="3">
        <v>10.5784</v>
      </c>
      <c r="AE71" s="3">
        <v>3.1518000000000002</v>
      </c>
      <c r="AF71" s="3">
        <v>2.6044999999999998</v>
      </c>
      <c r="AG71" s="3">
        <v>6.4969999999999999</v>
      </c>
      <c r="AH71" s="3">
        <v>6.81</v>
      </c>
      <c r="AI71" s="3">
        <v>155.685</v>
      </c>
      <c r="AJ71" s="3">
        <v>67.400000000000006</v>
      </c>
      <c r="AK71" s="3">
        <f t="shared" si="6"/>
        <v>3.2600000000000002</v>
      </c>
      <c r="AL71" s="3">
        <f t="shared" si="7"/>
        <v>1.825</v>
      </c>
      <c r="AM71" s="3">
        <f t="shared" si="8"/>
        <v>20.5642</v>
      </c>
      <c r="AN71" s="3">
        <f t="shared" si="9"/>
        <v>13.523000000000001</v>
      </c>
      <c r="AO71" s="3">
        <f t="shared" si="10"/>
        <v>1.56</v>
      </c>
      <c r="AP71" s="3">
        <f t="shared" si="11"/>
        <v>0.621</v>
      </c>
      <c r="AQ71" s="3">
        <v>323</v>
      </c>
      <c r="AR71" s="3">
        <v>2.9</v>
      </c>
    </row>
    <row r="72" spans="1:44" ht="15.75" thickBot="1">
      <c r="A72" s="3">
        <v>0.2</v>
      </c>
      <c r="B72" s="3">
        <v>0.2</v>
      </c>
      <c r="C72" s="3">
        <v>0</v>
      </c>
      <c r="D72" s="3">
        <v>0.2</v>
      </c>
      <c r="E72" s="3">
        <v>0.2</v>
      </c>
      <c r="F72" s="3">
        <v>0</v>
      </c>
      <c r="G72" s="3">
        <v>0</v>
      </c>
      <c r="H72" s="3">
        <v>0.2</v>
      </c>
      <c r="I72" s="3">
        <v>0</v>
      </c>
      <c r="J72" s="3">
        <v>0.85</v>
      </c>
      <c r="K72" s="3">
        <v>0.15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24.321999999999999</v>
      </c>
      <c r="Z72" s="3">
        <v>15.095000000000001</v>
      </c>
      <c r="AA72" s="3">
        <v>1.282</v>
      </c>
      <c r="AB72" s="3">
        <v>1.8360000000000001</v>
      </c>
      <c r="AC72" s="3">
        <v>28.678000000000001</v>
      </c>
      <c r="AD72" s="3">
        <v>10.547599999999999</v>
      </c>
      <c r="AE72" s="3">
        <v>2.8517999999999999</v>
      </c>
      <c r="AF72" s="3">
        <v>2.6167500000000001</v>
      </c>
      <c r="AG72" s="3">
        <v>5.8860000000000001</v>
      </c>
      <c r="AH72" s="3">
        <v>6.8</v>
      </c>
      <c r="AI72" s="3">
        <v>153.78649999999999</v>
      </c>
      <c r="AJ72" s="3">
        <v>66.3</v>
      </c>
      <c r="AK72" s="3">
        <f t="shared" si="6"/>
        <v>2.9899999999999998</v>
      </c>
      <c r="AL72" s="3">
        <f t="shared" si="7"/>
        <v>1.8325</v>
      </c>
      <c r="AM72" s="3">
        <f t="shared" si="8"/>
        <v>19.377200000000002</v>
      </c>
      <c r="AN72" s="3">
        <f t="shared" si="9"/>
        <v>13.499499999999999</v>
      </c>
      <c r="AO72" s="3">
        <f t="shared" si="10"/>
        <v>1.4260000000000002</v>
      </c>
      <c r="AP72" s="3">
        <f t="shared" si="11"/>
        <v>0.62649999999999995</v>
      </c>
      <c r="AQ72" s="3">
        <v>373</v>
      </c>
      <c r="AR72" s="3">
        <v>2.92</v>
      </c>
    </row>
    <row r="73" spans="1:44" ht="15.75" thickBot="1">
      <c r="A73" s="3">
        <v>0.5</v>
      </c>
      <c r="B73" s="3">
        <v>0.39</v>
      </c>
      <c r="C73" s="3">
        <v>0.11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0.97</v>
      </c>
      <c r="K73" s="3">
        <v>0.03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17.839500000000001</v>
      </c>
      <c r="Z73" s="3">
        <v>14.699</v>
      </c>
      <c r="AA73" s="3">
        <v>1.5051000000000001</v>
      </c>
      <c r="AB73" s="3">
        <v>1.8552</v>
      </c>
      <c r="AC73" s="3">
        <v>24.982600000000001</v>
      </c>
      <c r="AD73" s="3">
        <v>10.62152</v>
      </c>
      <c r="AE73" s="3">
        <v>2.4379</v>
      </c>
      <c r="AF73" s="3">
        <v>2.5873499999999998</v>
      </c>
      <c r="AG73" s="3">
        <v>6.1219999999999999</v>
      </c>
      <c r="AH73" s="3">
        <v>6.8239999999999998</v>
      </c>
      <c r="AI73" s="3">
        <v>166.94630000000001</v>
      </c>
      <c r="AJ73" s="3">
        <v>70.42</v>
      </c>
      <c r="AK73" s="3">
        <f t="shared" si="6"/>
        <v>3.0857000000000001</v>
      </c>
      <c r="AL73" s="3">
        <f t="shared" si="7"/>
        <v>1.8145</v>
      </c>
      <c r="AM73" s="3">
        <f t="shared" si="8"/>
        <v>30.270839999999996</v>
      </c>
      <c r="AN73" s="3">
        <f t="shared" si="9"/>
        <v>13.555900000000001</v>
      </c>
      <c r="AO73" s="3">
        <f t="shared" si="10"/>
        <v>1.3975</v>
      </c>
      <c r="AP73" s="3">
        <f t="shared" si="11"/>
        <v>0.61329999999999996</v>
      </c>
      <c r="AQ73" s="3">
        <v>60</v>
      </c>
      <c r="AR73" s="3">
        <v>0.72</v>
      </c>
    </row>
    <row r="74" spans="1:44" ht="15.75" thickBot="1">
      <c r="A74" s="3">
        <v>0.32500000000000001</v>
      </c>
      <c r="B74" s="3">
        <v>0.32500000000000001</v>
      </c>
      <c r="C74" s="3">
        <v>0</v>
      </c>
      <c r="D74" s="3">
        <v>0</v>
      </c>
      <c r="E74" s="3">
        <v>0.35</v>
      </c>
      <c r="F74" s="3">
        <v>0</v>
      </c>
      <c r="G74" s="3">
        <v>0</v>
      </c>
      <c r="H74" s="3">
        <v>0</v>
      </c>
      <c r="I74" s="3">
        <v>0</v>
      </c>
      <c r="J74" s="3">
        <v>0.93</v>
      </c>
      <c r="K74" s="3">
        <v>0</v>
      </c>
      <c r="L74" s="3">
        <v>0</v>
      </c>
      <c r="M74" s="3">
        <v>5.6000000000000001E-2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19.900749999999999</v>
      </c>
      <c r="Z74" s="3">
        <v>14.3116</v>
      </c>
      <c r="AA74" s="3">
        <v>1.38025</v>
      </c>
      <c r="AB74" s="3">
        <v>1.8384400000000001</v>
      </c>
      <c r="AC74" s="3">
        <v>26.533249999999999</v>
      </c>
      <c r="AD74" s="3">
        <v>10.502800000000001</v>
      </c>
      <c r="AE74" s="3">
        <v>2.633775</v>
      </c>
      <c r="AF74" s="3">
        <v>2.5556399999999999</v>
      </c>
      <c r="AG74" s="3">
        <v>6.0279999999999996</v>
      </c>
      <c r="AH74" s="3">
        <v>6.7747000000000002</v>
      </c>
      <c r="AI74" s="3">
        <v>160.87870000000001</v>
      </c>
      <c r="AJ74" s="3">
        <v>68.397999999999996</v>
      </c>
      <c r="AK74" s="3">
        <f t="shared" si="6"/>
        <v>2.9655000000000005</v>
      </c>
      <c r="AL74" s="3">
        <f t="shared" si="7"/>
        <v>1.7785000000000002</v>
      </c>
      <c r="AM74" s="3">
        <f t="shared" si="8"/>
        <v>24.655950000000001</v>
      </c>
      <c r="AN74" s="3">
        <f t="shared" si="9"/>
        <v>13.52562</v>
      </c>
      <c r="AO74" s="3">
        <f t="shared" si="10"/>
        <v>1.3945000000000001</v>
      </c>
      <c r="AP74" s="3">
        <f t="shared" si="11"/>
        <v>0.60538000000000003</v>
      </c>
      <c r="AQ74" s="3">
        <v>230</v>
      </c>
      <c r="AR74" s="3">
        <v>3.3</v>
      </c>
    </row>
    <row r="75" spans="1:44" ht="15.75" thickBot="1">
      <c r="A75" s="3">
        <v>0.4</v>
      </c>
      <c r="B75" s="3">
        <v>0.4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0.2</v>
      </c>
      <c r="I75" s="3">
        <v>0</v>
      </c>
      <c r="J75" s="3">
        <v>0.8</v>
      </c>
      <c r="K75" s="3">
        <v>0</v>
      </c>
      <c r="L75" s="3">
        <v>0.2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20.544</v>
      </c>
      <c r="Z75" s="3">
        <v>13.247999999999999</v>
      </c>
      <c r="AA75" s="3">
        <v>1.4279999999999999</v>
      </c>
      <c r="AB75" s="3">
        <v>1.8640000000000001</v>
      </c>
      <c r="AC75" s="3">
        <v>25.667999999999999</v>
      </c>
      <c r="AD75" s="3">
        <v>11.77</v>
      </c>
      <c r="AE75" s="3">
        <v>2.5392000000000001</v>
      </c>
      <c r="AF75" s="3">
        <v>2.44</v>
      </c>
      <c r="AG75" s="3">
        <v>6.01</v>
      </c>
      <c r="AH75" s="3">
        <v>6.9320000000000004</v>
      </c>
      <c r="AI75" s="3">
        <v>182.70400000000001</v>
      </c>
      <c r="AJ75" s="3">
        <v>76.400000000000006</v>
      </c>
      <c r="AK75" s="3">
        <f t="shared" si="6"/>
        <v>3.0619999999999998</v>
      </c>
      <c r="AL75" s="3">
        <f t="shared" si="7"/>
        <v>1.9080000000000001</v>
      </c>
      <c r="AM75" s="3">
        <f t="shared" si="8"/>
        <v>27.5944</v>
      </c>
      <c r="AN75" s="3">
        <f t="shared" si="9"/>
        <v>13.782000000000002</v>
      </c>
      <c r="AO75" s="3">
        <f t="shared" si="10"/>
        <v>1.4180000000000001</v>
      </c>
      <c r="AP75" s="3">
        <f t="shared" si="11"/>
        <v>0.626</v>
      </c>
      <c r="AQ75" s="3">
        <v>195</v>
      </c>
      <c r="AR75" s="3">
        <v>2.347</v>
      </c>
    </row>
    <row r="76" spans="1:44" ht="15.75" thickBot="1">
      <c r="A76" s="3">
        <v>0.46500000000000002</v>
      </c>
      <c r="B76" s="3">
        <v>0.46500000000000002</v>
      </c>
      <c r="C76" s="3">
        <v>0</v>
      </c>
      <c r="D76" s="3">
        <v>7.0000000000000007E-2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0.85</v>
      </c>
      <c r="K76" s="3">
        <v>0.15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16.248149999999999</v>
      </c>
      <c r="Z76" s="3">
        <v>15.095000000000001</v>
      </c>
      <c r="AA76" s="3">
        <v>1.49085</v>
      </c>
      <c r="AB76" s="3">
        <v>1.8360000000000001</v>
      </c>
      <c r="AC76" s="3">
        <v>22.800850000000001</v>
      </c>
      <c r="AD76" s="3">
        <v>10.547599999999999</v>
      </c>
      <c r="AE76" s="3">
        <v>2.3708550000000002</v>
      </c>
      <c r="AF76" s="3">
        <v>2.6167500000000001</v>
      </c>
      <c r="AG76" s="3">
        <v>6.2030000000000003</v>
      </c>
      <c r="AH76" s="3">
        <v>6.8</v>
      </c>
      <c r="AI76" s="3">
        <v>164.90110000000001</v>
      </c>
      <c r="AJ76" s="3">
        <v>69.81</v>
      </c>
      <c r="AK76" s="3">
        <f t="shared" si="6"/>
        <v>2.9697000000000005</v>
      </c>
      <c r="AL76" s="3">
        <f t="shared" si="7"/>
        <v>1.8325</v>
      </c>
      <c r="AM76" s="3">
        <f t="shared" si="8"/>
        <v>30.584390000000003</v>
      </c>
      <c r="AN76" s="3">
        <f t="shared" si="9"/>
        <v>13.499499999999999</v>
      </c>
      <c r="AO76" s="3">
        <f t="shared" si="10"/>
        <v>1.3679000000000001</v>
      </c>
      <c r="AP76" s="3">
        <f t="shared" si="11"/>
        <v>0.62649999999999995</v>
      </c>
      <c r="AQ76" s="3">
        <v>210</v>
      </c>
      <c r="AR76" s="3">
        <v>2.79</v>
      </c>
    </row>
    <row r="77" spans="1:44" ht="15.75" thickBot="1">
      <c r="A77" s="3">
        <v>0.4</v>
      </c>
      <c r="B77" s="3">
        <v>0.4</v>
      </c>
      <c r="C77" s="3">
        <v>0</v>
      </c>
      <c r="D77" s="3">
        <v>0</v>
      </c>
      <c r="E77" s="3">
        <v>0.2</v>
      </c>
      <c r="F77" s="3">
        <v>0</v>
      </c>
      <c r="G77" s="3">
        <v>0</v>
      </c>
      <c r="H77" s="3">
        <v>0</v>
      </c>
      <c r="I77" s="3">
        <v>0</v>
      </c>
      <c r="J77" s="3">
        <v>0.8</v>
      </c>
      <c r="K77" s="3">
        <v>0</v>
      </c>
      <c r="L77" s="3">
        <v>0</v>
      </c>
      <c r="M77" s="3">
        <v>0</v>
      </c>
      <c r="N77" s="3">
        <v>0</v>
      </c>
      <c r="O77" s="3">
        <v>0.1</v>
      </c>
      <c r="P77" s="3">
        <v>0.1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18.123999999999999</v>
      </c>
      <c r="Z77" s="3">
        <v>13.93</v>
      </c>
      <c r="AA77" s="3">
        <v>1.4379999999999999</v>
      </c>
      <c r="AB77" s="3">
        <v>1.855</v>
      </c>
      <c r="AC77" s="3">
        <v>24.824000000000002</v>
      </c>
      <c r="AD77" s="3">
        <v>10.595000000000001</v>
      </c>
      <c r="AE77" s="3">
        <v>2.5007999999999999</v>
      </c>
      <c r="AF77" s="3">
        <v>2.5074999999999998</v>
      </c>
      <c r="AG77" s="3">
        <v>6.1059999999999999</v>
      </c>
      <c r="AH77" s="3">
        <v>6.7380000000000004</v>
      </c>
      <c r="AI77" s="3">
        <v>160.71199999999999</v>
      </c>
      <c r="AJ77" s="3">
        <v>68.2</v>
      </c>
      <c r="AK77" s="3">
        <f t="shared" si="6"/>
        <v>2.976</v>
      </c>
      <c r="AL77" s="3">
        <f t="shared" si="7"/>
        <v>1.8240000000000003</v>
      </c>
      <c r="AM77" s="3">
        <f t="shared" si="8"/>
        <v>27.8004</v>
      </c>
      <c r="AN77" s="3">
        <f t="shared" si="9"/>
        <v>14.139000000000001</v>
      </c>
      <c r="AO77" s="3">
        <f t="shared" si="10"/>
        <v>1.3840000000000001</v>
      </c>
      <c r="AP77" s="3">
        <f t="shared" si="11"/>
        <v>0.6100000000000001</v>
      </c>
      <c r="AQ77" s="3">
        <v>520</v>
      </c>
      <c r="AR77" s="3">
        <v>6.64</v>
      </c>
    </row>
    <row r="78" spans="1:44" ht="15.75" thickBot="1">
      <c r="A78" s="3">
        <v>0.51700000000000002</v>
      </c>
      <c r="B78" s="3">
        <v>0.42299999999999999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0.06</v>
      </c>
      <c r="I78" s="3">
        <v>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16.406330000000001</v>
      </c>
      <c r="Z78" s="3">
        <v>14.6</v>
      </c>
      <c r="AA78" s="3">
        <v>1.54765</v>
      </c>
      <c r="AB78" s="3">
        <v>1.86</v>
      </c>
      <c r="AC78" s="3">
        <v>23.36581</v>
      </c>
      <c r="AD78" s="3">
        <v>10.64</v>
      </c>
      <c r="AE78" s="3">
        <v>2.3575189999999999</v>
      </c>
      <c r="AF78" s="3">
        <v>2.58</v>
      </c>
      <c r="AG78" s="3">
        <v>6.2505800000000002</v>
      </c>
      <c r="AH78" s="3">
        <v>6.83</v>
      </c>
      <c r="AI78" s="3">
        <v>173.9872</v>
      </c>
      <c r="AJ78" s="3">
        <v>72.924000000000007</v>
      </c>
      <c r="AK78" s="3">
        <f t="shared" si="6"/>
        <v>2.94204</v>
      </c>
      <c r="AL78" s="3">
        <f t="shared" si="7"/>
        <v>1.81</v>
      </c>
      <c r="AM78" s="3">
        <f t="shared" si="8"/>
        <v>29.235878000000003</v>
      </c>
      <c r="AN78" s="3">
        <f t="shared" si="9"/>
        <v>13.57</v>
      </c>
      <c r="AO78" s="3">
        <f t="shared" si="10"/>
        <v>1.38252</v>
      </c>
      <c r="AP78" s="3">
        <f t="shared" si="11"/>
        <v>0.61</v>
      </c>
      <c r="AQ78" s="3">
        <v>75</v>
      </c>
      <c r="AR78" s="3">
        <v>1.76</v>
      </c>
    </row>
    <row r="79" spans="1:44" ht="15.75" thickBot="1">
      <c r="A79" s="3">
        <v>0.44</v>
      </c>
      <c r="B79" s="3">
        <v>0.42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0.08</v>
      </c>
      <c r="I79" s="3">
        <v>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0.06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16.558199999999999</v>
      </c>
      <c r="Z79" s="3">
        <v>15.007999999999999</v>
      </c>
      <c r="AA79" s="3">
        <v>1.4017999999999999</v>
      </c>
      <c r="AB79" s="3">
        <v>1.9583999999999999</v>
      </c>
      <c r="AC79" s="3">
        <v>22.416799999999999</v>
      </c>
      <c r="AD79" s="3">
        <v>11.24</v>
      </c>
      <c r="AE79" s="3">
        <v>2.2638400000000001</v>
      </c>
      <c r="AF79" s="3">
        <v>2.6804999999999999</v>
      </c>
      <c r="AG79" s="3">
        <v>5.7788000000000004</v>
      </c>
      <c r="AH79" s="3">
        <v>7.1887999999999996</v>
      </c>
      <c r="AI79" s="3">
        <v>162.20359999999999</v>
      </c>
      <c r="AJ79" s="3">
        <v>68.400000000000006</v>
      </c>
      <c r="AK79" s="3">
        <f t="shared" si="6"/>
        <v>2.8246000000000002</v>
      </c>
      <c r="AL79" s="3">
        <f t="shared" si="7"/>
        <v>1.9306000000000001</v>
      </c>
      <c r="AM79" s="3">
        <f t="shared" si="8"/>
        <v>28.008119999999998</v>
      </c>
      <c r="AN79" s="3">
        <f t="shared" si="9"/>
        <v>14.6998</v>
      </c>
      <c r="AO79" s="3">
        <f t="shared" si="10"/>
        <v>1.3066</v>
      </c>
      <c r="AP79" s="3">
        <f t="shared" si="11"/>
        <v>0.64239999999999997</v>
      </c>
      <c r="AQ79" s="3">
        <v>50</v>
      </c>
      <c r="AR79" s="3">
        <v>0.5</v>
      </c>
    </row>
    <row r="80" spans="1:44" ht="15.75" thickBot="1">
      <c r="A80" s="3">
        <v>0.46500000000000002</v>
      </c>
      <c r="B80" s="3">
        <v>0.46500000000000002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7.0000000000000007E-2</v>
      </c>
      <c r="I80" s="3">
        <v>0</v>
      </c>
      <c r="J80" s="3">
        <v>0.98</v>
      </c>
      <c r="K80" s="3">
        <v>0</v>
      </c>
      <c r="L80" s="3">
        <v>0.2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17.431149999999999</v>
      </c>
      <c r="Z80" s="3">
        <v>15.875999999999999</v>
      </c>
      <c r="AA80" s="3">
        <v>1.48455</v>
      </c>
      <c r="AB80" s="3">
        <v>2.1987999999999999</v>
      </c>
      <c r="AC80" s="3">
        <v>23.63805</v>
      </c>
      <c r="AD80" s="3">
        <v>13.6852</v>
      </c>
      <c r="AE80" s="3">
        <v>2.3989950000000002</v>
      </c>
      <c r="AF80" s="3">
        <v>2.9043999999999999</v>
      </c>
      <c r="AG80" s="3">
        <v>6.14</v>
      </c>
      <c r="AH80" s="3">
        <v>8.1614000000000004</v>
      </c>
      <c r="AI80" s="3">
        <v>188.4854</v>
      </c>
      <c r="AJ80" s="3">
        <v>79.19</v>
      </c>
      <c r="AK80" s="3">
        <f t="shared" si="6"/>
        <v>3.0152000000000005</v>
      </c>
      <c r="AL80" s="3">
        <f t="shared" si="7"/>
        <v>2.2338</v>
      </c>
      <c r="AM80" s="3">
        <f t="shared" si="8"/>
        <v>30.453490000000002</v>
      </c>
      <c r="AN80" s="3">
        <f t="shared" si="9"/>
        <v>16.224600000000002</v>
      </c>
      <c r="AO80" s="3">
        <f t="shared" si="10"/>
        <v>1.3868</v>
      </c>
      <c r="AP80" s="3">
        <f t="shared" si="11"/>
        <v>0.73580000000000001</v>
      </c>
      <c r="AQ80" s="3">
        <v>150</v>
      </c>
      <c r="AR80" s="3">
        <v>1.27</v>
      </c>
    </row>
    <row r="81" spans="1:44" ht="15.75" thickBot="1">
      <c r="A81" s="3">
        <v>0.38540000000000002</v>
      </c>
      <c r="B81" s="3">
        <v>0.38540000000000002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4.9200000000000001E-2</v>
      </c>
      <c r="I81" s="3">
        <v>0.12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17.829194000000001</v>
      </c>
      <c r="Z81" s="3">
        <v>14.6</v>
      </c>
      <c r="AA81" s="3">
        <v>1.382898</v>
      </c>
      <c r="AB81" s="3">
        <v>1.86</v>
      </c>
      <c r="AC81" s="3">
        <v>21.941958</v>
      </c>
      <c r="AD81" s="3">
        <v>10.64</v>
      </c>
      <c r="AE81" s="3">
        <v>2.3279321999999998</v>
      </c>
      <c r="AF81" s="3">
        <v>2.58</v>
      </c>
      <c r="AG81" s="3">
        <v>5.7114000000000003</v>
      </c>
      <c r="AH81" s="3">
        <v>6.83</v>
      </c>
      <c r="AI81" s="3">
        <v>160.80006399999999</v>
      </c>
      <c r="AJ81" s="3">
        <v>67.822800000000001</v>
      </c>
      <c r="AK81" s="3">
        <f t="shared" si="6"/>
        <v>2.7599120000000004</v>
      </c>
      <c r="AL81" s="3">
        <f t="shared" si="7"/>
        <v>1.81</v>
      </c>
      <c r="AM81" s="3">
        <f t="shared" si="8"/>
        <v>26.479404400000004</v>
      </c>
      <c r="AN81" s="3">
        <f t="shared" si="9"/>
        <v>13.57</v>
      </c>
      <c r="AO81" s="3">
        <f t="shared" si="10"/>
        <v>1.298408</v>
      </c>
      <c r="AP81" s="3">
        <f t="shared" si="11"/>
        <v>0.61</v>
      </c>
      <c r="AQ81" s="3">
        <v>440</v>
      </c>
      <c r="AR81" s="3">
        <v>6.69</v>
      </c>
    </row>
    <row r="82" spans="1:44" ht="15.75" thickBot="1">
      <c r="A82" s="3">
        <v>0.30599999999999999</v>
      </c>
      <c r="B82" s="3">
        <v>0.28199999999999997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0.4</v>
      </c>
      <c r="I82" s="3">
        <v>0</v>
      </c>
      <c r="J82" s="3">
        <v>0.88</v>
      </c>
      <c r="K82" s="3">
        <v>0.12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24.94342</v>
      </c>
      <c r="Z82" s="3">
        <v>14.996</v>
      </c>
      <c r="AA82" s="3">
        <v>1.33782</v>
      </c>
      <c r="AB82" s="3">
        <v>1.8408</v>
      </c>
      <c r="AC82" s="3">
        <v>28.490819999999999</v>
      </c>
      <c r="AD82" s="3">
        <v>10.566079999999999</v>
      </c>
      <c r="AE82" s="3">
        <v>2.719182</v>
      </c>
      <c r="AF82" s="3">
        <v>2.6093999999999999</v>
      </c>
      <c r="AG82" s="3">
        <v>5.7611600000000003</v>
      </c>
      <c r="AH82" s="3">
        <v>6.806</v>
      </c>
      <c r="AI82" s="3">
        <v>178.57223999999999</v>
      </c>
      <c r="AJ82" s="3">
        <v>75.06</v>
      </c>
      <c r="AK82" s="3">
        <f t="shared" si="6"/>
        <v>3.0803599999999998</v>
      </c>
      <c r="AL82" s="3">
        <f t="shared" si="7"/>
        <v>1.8280000000000001</v>
      </c>
      <c r="AM82" s="3">
        <f t="shared" si="8"/>
        <v>22.444851999999997</v>
      </c>
      <c r="AN82" s="3">
        <f t="shared" si="9"/>
        <v>13.5136</v>
      </c>
      <c r="AO82" s="3">
        <f t="shared" si="10"/>
        <v>1.4490800000000001</v>
      </c>
      <c r="AP82" s="3">
        <f t="shared" si="11"/>
        <v>0.62319999999999998</v>
      </c>
      <c r="AQ82" s="3">
        <v>280</v>
      </c>
      <c r="AR82" s="3">
        <v>3.1</v>
      </c>
    </row>
    <row r="83" spans="1:44" ht="15.75" thickBot="1">
      <c r="A83" s="3">
        <v>0.43709999999999999</v>
      </c>
      <c r="B83" s="3">
        <v>0.47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0.06</v>
      </c>
      <c r="I83" s="3">
        <v>3.2899999999999999E-2</v>
      </c>
      <c r="J83" s="3">
        <v>0.97499999999999998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0.02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17.971430000000002</v>
      </c>
      <c r="Z83" s="3">
        <v>14.548999999999999</v>
      </c>
      <c r="AA83" s="3">
        <v>1.462909</v>
      </c>
      <c r="AB83" s="3">
        <v>1.8541000000000001</v>
      </c>
      <c r="AC83" s="3">
        <v>23.517431999999999</v>
      </c>
      <c r="AD83" s="3">
        <v>10.5906</v>
      </c>
      <c r="AE83" s="3">
        <v>2.4238407</v>
      </c>
      <c r="AF83" s="3">
        <v>2.5707</v>
      </c>
      <c r="AG83" s="3">
        <v>6.0937409999999996</v>
      </c>
      <c r="AH83" s="3">
        <v>6.7944500000000003</v>
      </c>
      <c r="AI83" s="3">
        <v>163.59881799999999</v>
      </c>
      <c r="AJ83" s="3">
        <v>68.954599999999999</v>
      </c>
      <c r="AK83" s="3">
        <f t="shared" si="6"/>
        <v>3.0171929999999998</v>
      </c>
      <c r="AL83" s="3">
        <f t="shared" si="7"/>
        <v>1.79975</v>
      </c>
      <c r="AM83" s="3">
        <f t="shared" si="8"/>
        <v>30.487863999999998</v>
      </c>
      <c r="AN83" s="3">
        <f t="shared" si="9"/>
        <v>13.51075</v>
      </c>
      <c r="AO83" s="3">
        <f t="shared" si="10"/>
        <v>1.3847289999999999</v>
      </c>
      <c r="AP83" s="3">
        <f t="shared" si="11"/>
        <v>0.60834999999999995</v>
      </c>
      <c r="AQ83" s="3">
        <v>135</v>
      </c>
      <c r="AR83" s="3">
        <v>1.83</v>
      </c>
    </row>
    <row r="84" spans="1:44" ht="15.75" thickBot="1">
      <c r="A84" s="3">
        <v>0.47</v>
      </c>
      <c r="B84" s="3">
        <v>0.47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0.06</v>
      </c>
      <c r="I84" s="3">
        <v>0</v>
      </c>
      <c r="J84" s="3">
        <v>0.96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2.6666666669999999E-2</v>
      </c>
      <c r="Q84" s="3">
        <v>1.3333333330000001E-2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17.191700000000001</v>
      </c>
      <c r="Z84" s="3">
        <v>14.576000000000001</v>
      </c>
      <c r="AA84" s="3">
        <v>1.4888999999999999</v>
      </c>
      <c r="AB84" s="3">
        <v>1.8572</v>
      </c>
      <c r="AC84" s="3">
        <v>23.4819</v>
      </c>
      <c r="AD84" s="3">
        <v>10.689866670000001</v>
      </c>
      <c r="AE84" s="3">
        <v>2.3882099999999999</v>
      </c>
      <c r="AF84" s="3">
        <v>2.5774666669999999</v>
      </c>
      <c r="AG84" s="3">
        <v>6.15</v>
      </c>
      <c r="AH84" s="3">
        <v>6.8389333329999999</v>
      </c>
      <c r="AI84" s="3">
        <v>166.12426669999999</v>
      </c>
      <c r="AJ84" s="3">
        <v>69.91333333</v>
      </c>
      <c r="AK84" s="3">
        <f t="shared" si="6"/>
        <v>3.0116000000000001</v>
      </c>
      <c r="AL84" s="3">
        <f t="shared" si="7"/>
        <v>1.8149333333315001</v>
      </c>
      <c r="AM84" s="3">
        <f t="shared" si="8"/>
        <v>30.67342</v>
      </c>
      <c r="AN84" s="3">
        <f t="shared" si="9"/>
        <v>13.6009333333299</v>
      </c>
      <c r="AO84" s="3">
        <f t="shared" si="10"/>
        <v>1.3843999999999999</v>
      </c>
      <c r="AP84" s="3">
        <f t="shared" si="11"/>
        <v>0.61333333333319995</v>
      </c>
      <c r="AQ84" s="3">
        <v>60</v>
      </c>
      <c r="AR84" s="3">
        <v>0.54</v>
      </c>
    </row>
    <row r="85" spans="1:44" ht="15.75" thickBot="1">
      <c r="A85" s="3">
        <v>0.44640000000000002</v>
      </c>
      <c r="B85" s="3">
        <v>0.44640000000000002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6.7199999999999996E-2</v>
      </c>
      <c r="I85" s="3">
        <v>0.04</v>
      </c>
      <c r="J85" s="3">
        <v>0.99</v>
      </c>
      <c r="K85" s="3">
        <v>0.01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17.977903999999999</v>
      </c>
      <c r="Z85" s="3">
        <v>14.632999999999999</v>
      </c>
      <c r="AA85" s="3">
        <v>1.479168</v>
      </c>
      <c r="AB85" s="3">
        <v>1.8584000000000001</v>
      </c>
      <c r="AC85" s="3">
        <v>23.588128000000001</v>
      </c>
      <c r="AD85" s="3">
        <v>10.633839999999999</v>
      </c>
      <c r="AE85" s="3">
        <v>2.4262351999999998</v>
      </c>
      <c r="AF85" s="3">
        <v>2.5824500000000001</v>
      </c>
      <c r="AG85" s="3">
        <v>6.1172000000000004</v>
      </c>
      <c r="AH85" s="3">
        <v>6.8280000000000003</v>
      </c>
      <c r="AI85" s="3">
        <v>166.73932400000001</v>
      </c>
      <c r="AJ85" s="3">
        <v>70.184799999999996</v>
      </c>
      <c r="AK85" s="3">
        <f t="shared" si="6"/>
        <v>2.9913919999999998</v>
      </c>
      <c r="AL85" s="3">
        <f t="shared" si="7"/>
        <v>1.8115000000000001</v>
      </c>
      <c r="AM85" s="3">
        <f t="shared" si="8"/>
        <v>29.677750400000001</v>
      </c>
      <c r="AN85" s="3">
        <f t="shared" si="9"/>
        <v>13.565300000000001</v>
      </c>
      <c r="AO85" s="3">
        <f t="shared" si="10"/>
        <v>1.3857280000000001</v>
      </c>
      <c r="AP85" s="3">
        <f t="shared" si="11"/>
        <v>0.61109999999999998</v>
      </c>
      <c r="AQ85" s="3">
        <v>100</v>
      </c>
      <c r="AR85" s="3">
        <v>1.21</v>
      </c>
    </row>
    <row r="86" spans="1:44" ht="15.75" thickBot="1">
      <c r="A86" s="3">
        <v>0.45590000000000003</v>
      </c>
      <c r="B86" s="3">
        <v>0.45590000000000003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5.8200000000000002E-2</v>
      </c>
      <c r="I86" s="3">
        <v>0.03</v>
      </c>
      <c r="J86" s="3">
        <v>0.95</v>
      </c>
      <c r="K86" s="3">
        <v>0</v>
      </c>
      <c r="L86" s="3">
        <v>0</v>
      </c>
      <c r="M86" s="3">
        <v>0</v>
      </c>
      <c r="N86" s="3">
        <v>0</v>
      </c>
      <c r="O86" s="3">
        <v>2.5000000000000001E-2</v>
      </c>
      <c r="P86" s="3">
        <v>2.5000000000000001E-2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17.608948999999999</v>
      </c>
      <c r="Z86" s="3">
        <v>14.432499999999999</v>
      </c>
      <c r="AA86" s="3">
        <v>1.4847330000000001</v>
      </c>
      <c r="AB86" s="3">
        <v>1.8587499999999999</v>
      </c>
      <c r="AC86" s="3">
        <v>23.449142999999999</v>
      </c>
      <c r="AD86" s="3">
        <v>10.62875</v>
      </c>
      <c r="AE86" s="3">
        <v>2.4089637000000002</v>
      </c>
      <c r="AF86" s="3">
        <v>2.5618750000000001</v>
      </c>
      <c r="AG86" s="3">
        <v>6.1326000000000001</v>
      </c>
      <c r="AH86" s="3">
        <v>6.8070000000000004</v>
      </c>
      <c r="AI86" s="3">
        <v>166.49284399999999</v>
      </c>
      <c r="AJ86" s="3">
        <v>70.073800000000006</v>
      </c>
      <c r="AK86" s="3">
        <f t="shared" si="6"/>
        <v>2.9938520000000004</v>
      </c>
      <c r="AL86" s="3">
        <f t="shared" si="7"/>
        <v>1.8134999999999999</v>
      </c>
      <c r="AM86" s="3">
        <f t="shared" si="8"/>
        <v>30.085017400000005</v>
      </c>
      <c r="AN86" s="3">
        <f t="shared" si="9"/>
        <v>13.712249999999999</v>
      </c>
      <c r="AO86" s="3">
        <f t="shared" si="10"/>
        <v>1.3836679999999999</v>
      </c>
      <c r="AP86" s="3">
        <f t="shared" si="11"/>
        <v>0.61</v>
      </c>
      <c r="AQ86" s="3">
        <v>105</v>
      </c>
      <c r="AR86" s="3">
        <v>1.72</v>
      </c>
    </row>
    <row r="87" spans="1:44" ht="15.75" thickBot="1">
      <c r="A87" s="3">
        <v>0.435</v>
      </c>
      <c r="B87" s="3">
        <v>0.315</v>
      </c>
      <c r="C87" s="3">
        <v>0</v>
      </c>
      <c r="D87" s="3">
        <v>0</v>
      </c>
      <c r="E87" s="3">
        <v>0.25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8">
        <v>0</v>
      </c>
      <c r="L87" s="8">
        <v>0</v>
      </c>
      <c r="M87" s="3">
        <v>0</v>
      </c>
      <c r="N87" s="3">
        <v>0</v>
      </c>
      <c r="O87" s="8">
        <v>0</v>
      </c>
      <c r="P87" s="8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17.713650000000001</v>
      </c>
      <c r="Z87" s="3">
        <v>14.6</v>
      </c>
      <c r="AA87" s="3">
        <v>1.4937499999999999</v>
      </c>
      <c r="AB87" s="3">
        <v>1.86</v>
      </c>
      <c r="AC87" s="3">
        <v>25.245550000000001</v>
      </c>
      <c r="AD87" s="3">
        <v>10.64</v>
      </c>
      <c r="AE87" s="3">
        <v>2.5059450000000001</v>
      </c>
      <c r="AF87" s="3">
        <v>2.58</v>
      </c>
      <c r="AG87" s="3">
        <v>6.2084000000000001</v>
      </c>
      <c r="AH87" s="3">
        <v>6.83</v>
      </c>
      <c r="AI87" s="3">
        <v>168.07</v>
      </c>
      <c r="AJ87" s="3">
        <v>71.069999999999993</v>
      </c>
      <c r="AK87" s="3">
        <f t="shared" si="6"/>
        <v>2.8836999999999997</v>
      </c>
      <c r="AL87" s="3">
        <f t="shared" si="7"/>
        <v>1.81</v>
      </c>
      <c r="AM87" s="3">
        <f t="shared" si="8"/>
        <v>24.917090000000002</v>
      </c>
      <c r="AN87" s="3">
        <f t="shared" si="9"/>
        <v>13.57</v>
      </c>
      <c r="AO87" s="3">
        <f t="shared" si="10"/>
        <v>1.3851</v>
      </c>
      <c r="AP87" s="3">
        <f t="shared" si="11"/>
        <v>0.61</v>
      </c>
      <c r="AQ87" s="3">
        <v>535</v>
      </c>
      <c r="AR87" s="3">
        <v>5.63</v>
      </c>
    </row>
    <row r="88" spans="1:44" ht="15.75" thickBot="1">
      <c r="A88" s="3">
        <v>0.35</v>
      </c>
      <c r="B88" s="3">
        <v>0.35</v>
      </c>
      <c r="C88" s="3">
        <v>0</v>
      </c>
      <c r="D88" s="3">
        <v>0</v>
      </c>
      <c r="E88" s="3">
        <v>0.26</v>
      </c>
      <c r="F88" s="3">
        <v>0</v>
      </c>
      <c r="G88" s="3">
        <v>0</v>
      </c>
      <c r="H88" s="3">
        <v>0.04</v>
      </c>
      <c r="I88" s="3">
        <v>0</v>
      </c>
      <c r="J88" s="3">
        <v>1</v>
      </c>
      <c r="K88" s="8">
        <v>0</v>
      </c>
      <c r="L88" s="8">
        <v>0</v>
      </c>
      <c r="M88" s="3">
        <v>0</v>
      </c>
      <c r="N88" s="3">
        <v>0</v>
      </c>
      <c r="O88" s="8">
        <v>0</v>
      </c>
      <c r="P88" s="8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19.7925</v>
      </c>
      <c r="Z88" s="3">
        <v>14.6</v>
      </c>
      <c r="AA88" s="3">
        <v>1.3975</v>
      </c>
      <c r="AB88" s="3">
        <v>1.86</v>
      </c>
      <c r="AC88" s="3">
        <v>26.132300000000001</v>
      </c>
      <c r="AD88" s="3">
        <v>10.64</v>
      </c>
      <c r="AE88" s="3">
        <v>2.5971299999999999</v>
      </c>
      <c r="AF88" s="3">
        <v>2.58</v>
      </c>
      <c r="AG88" s="3">
        <v>6.0347999999999997</v>
      </c>
      <c r="AH88" s="3">
        <v>6.83</v>
      </c>
      <c r="AI88" s="3">
        <v>157.506</v>
      </c>
      <c r="AJ88" s="3">
        <v>67.02</v>
      </c>
      <c r="AK88" s="3">
        <f t="shared" si="6"/>
        <v>2.9861999999999997</v>
      </c>
      <c r="AL88" s="3">
        <f t="shared" si="7"/>
        <v>1.81</v>
      </c>
      <c r="AM88" s="3">
        <f t="shared" si="8"/>
        <v>25.662899999999997</v>
      </c>
      <c r="AN88" s="3">
        <f t="shared" si="9"/>
        <v>13.57</v>
      </c>
      <c r="AO88" s="3">
        <f t="shared" si="10"/>
        <v>1.3977999999999999</v>
      </c>
      <c r="AP88" s="3">
        <f t="shared" si="11"/>
        <v>0.61</v>
      </c>
      <c r="AQ88" s="3">
        <v>50</v>
      </c>
      <c r="AR88" s="3">
        <v>0.74</v>
      </c>
    </row>
    <row r="89" spans="1:44" ht="15.75" thickBot="1">
      <c r="A89" s="3">
        <v>0.3</v>
      </c>
      <c r="B89" s="3">
        <v>0.3</v>
      </c>
      <c r="C89" s="3">
        <v>0</v>
      </c>
      <c r="D89" s="3">
        <v>0</v>
      </c>
      <c r="E89" s="3">
        <v>0.4</v>
      </c>
      <c r="F89" s="3">
        <v>0</v>
      </c>
      <c r="G89" s="3">
        <v>0</v>
      </c>
      <c r="H89" s="3">
        <v>0</v>
      </c>
      <c r="I89" s="3">
        <v>0</v>
      </c>
      <c r="J89" s="3">
        <v>0.92</v>
      </c>
      <c r="K89" s="3">
        <v>0</v>
      </c>
      <c r="L89" s="3">
        <v>0.08</v>
      </c>
      <c r="M89" s="3">
        <v>0</v>
      </c>
      <c r="N89" s="3">
        <v>0</v>
      </c>
      <c r="O89" s="8">
        <v>0</v>
      </c>
      <c r="P89" s="8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20.492999999999999</v>
      </c>
      <c r="Z89" s="3">
        <v>14.059200000000001</v>
      </c>
      <c r="AA89" s="3">
        <v>1.361</v>
      </c>
      <c r="AB89" s="3">
        <v>1.8615999999999999</v>
      </c>
      <c r="AC89" s="3">
        <v>27.103000000000002</v>
      </c>
      <c r="AD89" s="3">
        <v>11.092000000000001</v>
      </c>
      <c r="AE89" s="3">
        <v>2.6781000000000001</v>
      </c>
      <c r="AF89" s="3">
        <v>2.524</v>
      </c>
      <c r="AG89" s="3">
        <v>6.0019999999999998</v>
      </c>
      <c r="AH89" s="3">
        <v>6.8708</v>
      </c>
      <c r="AI89" s="3">
        <v>158.45400000000001</v>
      </c>
      <c r="AJ89" s="3">
        <v>67.64</v>
      </c>
      <c r="AK89" s="3">
        <f t="shared" si="6"/>
        <v>2.9619999999999997</v>
      </c>
      <c r="AL89" s="3">
        <f t="shared" si="7"/>
        <v>1.8492</v>
      </c>
      <c r="AM89" s="3">
        <f t="shared" si="8"/>
        <v>23.607799999999997</v>
      </c>
      <c r="AN89" s="3">
        <f t="shared" si="9"/>
        <v>13.654800000000002</v>
      </c>
      <c r="AO89" s="3">
        <f t="shared" si="10"/>
        <v>1.3980000000000001</v>
      </c>
      <c r="AP89" s="3">
        <f t="shared" si="11"/>
        <v>0.61640000000000006</v>
      </c>
      <c r="AQ89" s="3">
        <v>215</v>
      </c>
      <c r="AR89" s="3">
        <v>2.4700000000000002</v>
      </c>
    </row>
    <row r="90" spans="1:44" ht="15.75" thickBot="1">
      <c r="A90" s="3">
        <v>0.3</v>
      </c>
      <c r="B90" s="3">
        <v>0.3</v>
      </c>
      <c r="C90" s="3">
        <v>0</v>
      </c>
      <c r="D90" s="3">
        <v>0</v>
      </c>
      <c r="E90" s="3">
        <v>0.4</v>
      </c>
      <c r="F90" s="3">
        <v>0</v>
      </c>
      <c r="G90" s="3">
        <v>0</v>
      </c>
      <c r="H90" s="3">
        <v>0</v>
      </c>
      <c r="I90" s="3">
        <v>0</v>
      </c>
      <c r="J90" s="3">
        <v>0.92</v>
      </c>
      <c r="K90" s="3">
        <v>0</v>
      </c>
      <c r="L90" s="3">
        <v>0</v>
      </c>
      <c r="M90" s="3">
        <v>6.4000000000000001E-2</v>
      </c>
      <c r="N90" s="3">
        <v>0</v>
      </c>
      <c r="O90" s="8">
        <v>0</v>
      </c>
      <c r="P90" s="8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20.492999999999999</v>
      </c>
      <c r="Z90" s="3">
        <v>14.2704</v>
      </c>
      <c r="AA90" s="3">
        <v>1.361</v>
      </c>
      <c r="AB90" s="3">
        <v>1.8353600000000001</v>
      </c>
      <c r="AC90" s="3">
        <v>27.103000000000002</v>
      </c>
      <c r="AD90" s="3">
        <v>10.4832</v>
      </c>
      <c r="AE90" s="3">
        <v>2.6781000000000001</v>
      </c>
      <c r="AF90" s="3">
        <v>2.5521600000000002</v>
      </c>
      <c r="AG90" s="3">
        <v>6.0019999999999998</v>
      </c>
      <c r="AH90" s="3">
        <v>6.7667999999999999</v>
      </c>
      <c r="AI90" s="3">
        <v>160.44280000000001</v>
      </c>
      <c r="AJ90" s="3">
        <v>68.311999999999998</v>
      </c>
      <c r="AK90" s="3">
        <f t="shared" si="6"/>
        <v>2.9619999999999997</v>
      </c>
      <c r="AL90" s="3">
        <f t="shared" si="7"/>
        <v>1.774</v>
      </c>
      <c r="AM90" s="3">
        <f t="shared" si="8"/>
        <v>23.607799999999997</v>
      </c>
      <c r="AN90" s="3">
        <f t="shared" si="9"/>
        <v>13.51928</v>
      </c>
      <c r="AO90" s="3">
        <f t="shared" si="10"/>
        <v>1.3980000000000001</v>
      </c>
      <c r="AP90" s="3">
        <f t="shared" si="11"/>
        <v>0.60472000000000004</v>
      </c>
      <c r="AQ90" s="3">
        <v>230</v>
      </c>
      <c r="AR90" s="3">
        <v>3.3</v>
      </c>
    </row>
    <row r="91" spans="1:44" ht="15.75" thickBot="1">
      <c r="A91" s="3">
        <v>0.3</v>
      </c>
      <c r="B91" s="3">
        <v>0.3</v>
      </c>
      <c r="C91" s="3">
        <v>0</v>
      </c>
      <c r="D91" s="3">
        <v>0</v>
      </c>
      <c r="E91" s="3">
        <v>0.4</v>
      </c>
      <c r="F91" s="3">
        <v>0</v>
      </c>
      <c r="G91" s="3">
        <v>0</v>
      </c>
      <c r="H91" s="3">
        <v>0</v>
      </c>
      <c r="I91" s="3">
        <v>0</v>
      </c>
      <c r="J91" s="3">
        <v>0.98</v>
      </c>
      <c r="K91" s="3">
        <v>0</v>
      </c>
      <c r="L91" s="3">
        <v>0</v>
      </c>
      <c r="M91" s="3">
        <v>0</v>
      </c>
      <c r="N91" s="3">
        <v>0</v>
      </c>
      <c r="O91" s="8">
        <v>0</v>
      </c>
      <c r="P91" s="3">
        <v>0.01</v>
      </c>
      <c r="Q91" s="3">
        <v>0</v>
      </c>
      <c r="R91" s="3">
        <v>0</v>
      </c>
      <c r="S91" s="3">
        <v>0</v>
      </c>
      <c r="T91" s="3">
        <v>0.01</v>
      </c>
      <c r="U91" s="3">
        <v>0</v>
      </c>
      <c r="V91" s="3">
        <v>0</v>
      </c>
      <c r="W91" s="3">
        <v>0</v>
      </c>
      <c r="X91" s="3">
        <v>0</v>
      </c>
      <c r="Y91" s="3">
        <v>20.492999999999999</v>
      </c>
      <c r="Z91" s="3">
        <v>14.548999999999999</v>
      </c>
      <c r="AA91" s="3">
        <v>1.361</v>
      </c>
      <c r="AB91" s="3">
        <v>1.8597999999999999</v>
      </c>
      <c r="AC91" s="3">
        <v>27.103000000000002</v>
      </c>
      <c r="AD91" s="3">
        <v>10.606400000000001</v>
      </c>
      <c r="AE91" s="3">
        <v>2.6781000000000001</v>
      </c>
      <c r="AF91" s="3">
        <v>2.5771000000000002</v>
      </c>
      <c r="AG91" s="3">
        <v>6.0019999999999998</v>
      </c>
      <c r="AH91" s="3">
        <v>6.84</v>
      </c>
      <c r="AI91" s="3">
        <v>153.22730000000001</v>
      </c>
      <c r="AJ91" s="3">
        <v>65.63</v>
      </c>
      <c r="AK91" s="3">
        <f t="shared" si="6"/>
        <v>2.9619999999999997</v>
      </c>
      <c r="AL91" s="3">
        <f t="shared" si="7"/>
        <v>1.8029000000000002</v>
      </c>
      <c r="AM91" s="3">
        <f t="shared" si="8"/>
        <v>23.607799999999997</v>
      </c>
      <c r="AN91" s="3">
        <f t="shared" si="9"/>
        <v>13.6005</v>
      </c>
      <c r="AO91" s="3">
        <f t="shared" si="10"/>
        <v>1.3980000000000001</v>
      </c>
      <c r="AP91" s="3">
        <f t="shared" si="11"/>
        <v>0.61109999999999998</v>
      </c>
      <c r="AQ91" s="3">
        <v>170</v>
      </c>
      <c r="AR91" s="3">
        <v>3.36</v>
      </c>
    </row>
    <row r="92" spans="1:44" ht="15.75" thickBot="1">
      <c r="A92" s="3">
        <v>0.27500000000000002</v>
      </c>
      <c r="B92" s="3">
        <v>0.27500000000000002</v>
      </c>
      <c r="C92" s="3">
        <v>0</v>
      </c>
      <c r="D92" s="3">
        <v>0</v>
      </c>
      <c r="E92" s="3">
        <v>0.315</v>
      </c>
      <c r="F92" s="3">
        <v>0</v>
      </c>
      <c r="G92" s="3">
        <v>0</v>
      </c>
      <c r="H92" s="3">
        <v>0</v>
      </c>
      <c r="I92" s="3">
        <v>0.09</v>
      </c>
      <c r="J92" s="3">
        <v>0.91</v>
      </c>
      <c r="K92" s="3">
        <v>0</v>
      </c>
      <c r="L92" s="3">
        <v>0.09</v>
      </c>
      <c r="M92" s="3">
        <v>0</v>
      </c>
      <c r="N92" s="3">
        <v>0</v>
      </c>
      <c r="O92" s="8">
        <v>0</v>
      </c>
      <c r="P92" s="8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20.158249999999999</v>
      </c>
      <c r="Z92" s="3">
        <v>13.9916</v>
      </c>
      <c r="AA92" s="3">
        <v>1.3107</v>
      </c>
      <c r="AB92" s="3">
        <v>1.8617999999999999</v>
      </c>
      <c r="AC92" s="3">
        <v>25.10595</v>
      </c>
      <c r="AD92" s="3">
        <v>11.1485</v>
      </c>
      <c r="AE92" s="3">
        <v>2.5662750000000001</v>
      </c>
      <c r="AF92" s="3">
        <v>2.5169999999999999</v>
      </c>
      <c r="AG92" s="3">
        <v>5.7091500000000002</v>
      </c>
      <c r="AH92" s="3">
        <v>6.8758999999999997</v>
      </c>
      <c r="AI92" s="3">
        <v>158.404</v>
      </c>
      <c r="AJ92" s="3">
        <v>67.47</v>
      </c>
      <c r="AK92" s="3">
        <f t="shared" si="6"/>
        <v>2.7821000000000002</v>
      </c>
      <c r="AL92" s="3">
        <f t="shared" si="7"/>
        <v>1.8541000000000001</v>
      </c>
      <c r="AM92" s="3">
        <f t="shared" si="8"/>
        <v>22.066000000000003</v>
      </c>
      <c r="AN92" s="3">
        <f t="shared" si="9"/>
        <v>13.665400000000002</v>
      </c>
      <c r="AO92" s="3">
        <f t="shared" si="10"/>
        <v>1.3295000000000001</v>
      </c>
      <c r="AP92" s="3">
        <f t="shared" si="11"/>
        <v>0.61720000000000008</v>
      </c>
      <c r="AQ92" s="3">
        <v>280</v>
      </c>
      <c r="AR92" s="3">
        <v>2.52</v>
      </c>
    </row>
    <row r="93" spans="1:44" ht="15.75" thickBot="1">
      <c r="A93" s="3">
        <v>0.33500000000000002</v>
      </c>
      <c r="B93" s="3">
        <v>0.33500000000000002</v>
      </c>
      <c r="C93" s="3">
        <v>0</v>
      </c>
      <c r="D93" s="3">
        <v>0</v>
      </c>
      <c r="E93" s="3">
        <v>0.23100000000000001</v>
      </c>
      <c r="F93" s="3">
        <v>0</v>
      </c>
      <c r="G93" s="3">
        <v>0</v>
      </c>
      <c r="H93" s="3">
        <v>0</v>
      </c>
      <c r="I93" s="3">
        <v>6.6000000000000003E-2</v>
      </c>
      <c r="J93" s="3">
        <v>0.95050000000000001</v>
      </c>
      <c r="K93" s="3">
        <v>4.9500000000000002E-2</v>
      </c>
      <c r="L93" s="8">
        <v>0</v>
      </c>
      <c r="M93" s="3">
        <v>0</v>
      </c>
      <c r="N93" s="3">
        <v>0</v>
      </c>
      <c r="O93" s="8">
        <v>0</v>
      </c>
      <c r="P93" s="8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18.98405</v>
      </c>
      <c r="Z93" s="3">
        <v>14.763350000000001</v>
      </c>
      <c r="AA93" s="3">
        <v>1.3651800000000001</v>
      </c>
      <c r="AB93" s="3">
        <v>1.8520799999999999</v>
      </c>
      <c r="AC93" s="3">
        <v>24.423030000000001</v>
      </c>
      <c r="AD93" s="3">
        <v>10.609508</v>
      </c>
      <c r="AE93" s="3">
        <v>2.5015350000000001</v>
      </c>
      <c r="AF93" s="3">
        <v>2.5921275000000001</v>
      </c>
      <c r="AG93" s="3">
        <v>5.8427100000000003</v>
      </c>
      <c r="AH93" s="3">
        <v>6.8201000000000001</v>
      </c>
      <c r="AI93" s="3">
        <v>157.20542499999999</v>
      </c>
      <c r="AJ93" s="3">
        <v>66.921000000000006</v>
      </c>
      <c r="AK93" s="3">
        <f t="shared" si="6"/>
        <v>2.8375400000000006</v>
      </c>
      <c r="AL93" s="3">
        <f t="shared" si="7"/>
        <v>1.8174250000000001</v>
      </c>
      <c r="AM93" s="3">
        <f t="shared" si="8"/>
        <v>24.713200000000001</v>
      </c>
      <c r="AN93" s="3">
        <f t="shared" si="9"/>
        <v>13.546735</v>
      </c>
      <c r="AO93" s="3">
        <f t="shared" si="10"/>
        <v>1.3403</v>
      </c>
      <c r="AP93" s="3">
        <f t="shared" si="11"/>
        <v>0.61544500000000002</v>
      </c>
      <c r="AQ93" s="3">
        <v>360</v>
      </c>
      <c r="AR93" s="3">
        <v>3.78</v>
      </c>
    </row>
    <row r="94" spans="1:44" ht="15.75" thickBot="1">
      <c r="A94" s="3">
        <v>0.32200000000000001</v>
      </c>
      <c r="B94" s="3">
        <v>0.40200000000000002</v>
      </c>
      <c r="C94" s="3">
        <v>0</v>
      </c>
      <c r="D94" s="3">
        <v>0</v>
      </c>
      <c r="E94" s="3">
        <v>0.27600000000000002</v>
      </c>
      <c r="F94" s="3">
        <v>0</v>
      </c>
      <c r="G94" s="3">
        <v>0</v>
      </c>
      <c r="H94" s="3">
        <v>0</v>
      </c>
      <c r="I94" s="3">
        <v>0</v>
      </c>
      <c r="J94" s="3">
        <v>0.92</v>
      </c>
      <c r="K94" s="3">
        <v>0</v>
      </c>
      <c r="L94" s="3">
        <v>0</v>
      </c>
      <c r="M94" s="3">
        <v>0</v>
      </c>
      <c r="N94" s="3">
        <v>0</v>
      </c>
      <c r="O94" s="8">
        <v>0</v>
      </c>
      <c r="P94" s="3">
        <v>0.08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19.692620000000002</v>
      </c>
      <c r="Z94" s="3">
        <v>14.688000000000001</v>
      </c>
      <c r="AA94" s="3">
        <v>1.3587400000000001</v>
      </c>
      <c r="AB94" s="3">
        <v>1.8735999999999999</v>
      </c>
      <c r="AC94" s="3">
        <v>25.788820000000001</v>
      </c>
      <c r="AD94" s="3">
        <v>10.655200000000001</v>
      </c>
      <c r="AE94" s="3">
        <v>2.5942940000000001</v>
      </c>
      <c r="AF94" s="3">
        <v>2.5943999999999998</v>
      </c>
      <c r="AG94" s="3">
        <v>5.98088</v>
      </c>
      <c r="AH94" s="3">
        <v>6.8243999999999998</v>
      </c>
      <c r="AI94" s="3">
        <v>152.33591999999999</v>
      </c>
      <c r="AJ94" s="3">
        <v>65.156000000000006</v>
      </c>
      <c r="AK94" s="3">
        <f t="shared" si="6"/>
        <v>3.0298799999999999</v>
      </c>
      <c r="AL94" s="3">
        <f t="shared" si="7"/>
        <v>1.8052000000000001</v>
      </c>
      <c r="AM94" s="3">
        <f t="shared" si="8"/>
        <v>27.430652000000002</v>
      </c>
      <c r="AN94" s="3">
        <f t="shared" si="9"/>
        <v>13.604400000000002</v>
      </c>
      <c r="AO94" s="3">
        <f t="shared" si="10"/>
        <v>1.3909199999999999</v>
      </c>
      <c r="AP94" s="3">
        <f t="shared" si="11"/>
        <v>0.61560000000000004</v>
      </c>
      <c r="AQ94" s="3">
        <v>170</v>
      </c>
      <c r="AR94" s="3">
        <v>2.4900000000000002</v>
      </c>
    </row>
    <row r="95" spans="1:44" ht="15.75" thickBot="1">
      <c r="A95" s="3">
        <v>0.36099999999999999</v>
      </c>
      <c r="B95" s="3">
        <v>0.36099999999999999</v>
      </c>
      <c r="C95" s="3">
        <v>0</v>
      </c>
      <c r="D95" s="3">
        <v>0</v>
      </c>
      <c r="E95" s="3">
        <v>0.22800000000000001</v>
      </c>
      <c r="F95" s="3">
        <v>0</v>
      </c>
      <c r="G95" s="3">
        <v>0</v>
      </c>
      <c r="H95" s="3">
        <v>0</v>
      </c>
      <c r="I95" s="3">
        <v>0</v>
      </c>
      <c r="J95" s="3">
        <v>0.95</v>
      </c>
      <c r="K95" s="3">
        <v>0</v>
      </c>
      <c r="L95" s="3">
        <v>0</v>
      </c>
      <c r="M95" s="3">
        <v>0</v>
      </c>
      <c r="N95" s="3">
        <v>0</v>
      </c>
      <c r="O95" s="8">
        <v>0</v>
      </c>
      <c r="P95" s="3">
        <v>0.05</v>
      </c>
      <c r="Q95" s="3">
        <v>0</v>
      </c>
      <c r="R95" s="3">
        <v>0</v>
      </c>
      <c r="S95" s="3">
        <v>0</v>
      </c>
      <c r="T95" s="3">
        <v>0</v>
      </c>
      <c r="U95" s="3">
        <v>0.05</v>
      </c>
      <c r="V95" s="3">
        <v>0</v>
      </c>
      <c r="W95" s="3">
        <v>0</v>
      </c>
      <c r="X95" s="3">
        <v>0</v>
      </c>
      <c r="Y95" s="3">
        <v>18.006910000000001</v>
      </c>
      <c r="Z95" s="3">
        <v>14.654999999999999</v>
      </c>
      <c r="AA95" s="3">
        <v>1.4049700000000001</v>
      </c>
      <c r="AB95" s="3">
        <v>1.8685</v>
      </c>
      <c r="AC95" s="3">
        <v>24.529309999999999</v>
      </c>
      <c r="AD95" s="3">
        <v>10.6495</v>
      </c>
      <c r="AE95" s="3">
        <v>2.5149469999999998</v>
      </c>
      <c r="AF95" s="3">
        <v>2.589</v>
      </c>
      <c r="AG95" s="3">
        <v>6.15944</v>
      </c>
      <c r="AH95" s="3">
        <v>6.8265000000000002</v>
      </c>
      <c r="AI95" s="3">
        <v>159.32126</v>
      </c>
      <c r="AJ95" s="3">
        <v>67.897999999999996</v>
      </c>
      <c r="AK95" s="3">
        <f t="shared" si="6"/>
        <v>2.9695400000000003</v>
      </c>
      <c r="AL95" s="3">
        <f t="shared" si="7"/>
        <v>1.8069999999999999</v>
      </c>
      <c r="AM95" s="3">
        <f t="shared" si="8"/>
        <v>26.688786</v>
      </c>
      <c r="AN95" s="3">
        <f t="shared" si="9"/>
        <v>13.591499999999998</v>
      </c>
      <c r="AO95" s="3">
        <f t="shared" si="10"/>
        <v>1.3889599999999998</v>
      </c>
      <c r="AP95" s="3">
        <f t="shared" si="11"/>
        <v>0.61350000000000005</v>
      </c>
      <c r="AQ95" s="3">
        <v>130</v>
      </c>
      <c r="AR95" s="3">
        <v>2.25</v>
      </c>
    </row>
    <row r="96" spans="1:44" ht="15.75" thickBot="1">
      <c r="A96" s="3">
        <v>0.3664</v>
      </c>
      <c r="B96" s="3">
        <v>0.35639999999999999</v>
      </c>
      <c r="C96" s="3">
        <v>0</v>
      </c>
      <c r="D96" s="3">
        <v>0</v>
      </c>
      <c r="E96" s="3">
        <v>0.2772</v>
      </c>
      <c r="F96" s="3">
        <v>0</v>
      </c>
      <c r="G96" s="3">
        <v>0</v>
      </c>
      <c r="H96" s="3">
        <v>0</v>
      </c>
      <c r="I96" s="3">
        <v>0</v>
      </c>
      <c r="J96" s="3">
        <v>0.99</v>
      </c>
      <c r="K96" s="3">
        <v>0</v>
      </c>
      <c r="L96" s="3">
        <v>0</v>
      </c>
      <c r="M96" s="3">
        <v>0</v>
      </c>
      <c r="N96" s="3">
        <v>0</v>
      </c>
      <c r="O96" s="3">
        <v>0.01</v>
      </c>
      <c r="P96" s="8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18.954884</v>
      </c>
      <c r="Z96" s="3">
        <v>14.522</v>
      </c>
      <c r="AA96" s="3">
        <v>1.414528</v>
      </c>
      <c r="AB96" s="3">
        <v>1.8577999999999999</v>
      </c>
      <c r="AC96" s="3">
        <v>25.691344000000001</v>
      </c>
      <c r="AD96" s="3">
        <v>10.633599999999999</v>
      </c>
      <c r="AE96" s="3">
        <v>2.5659727999999999</v>
      </c>
      <c r="AF96" s="3">
        <v>2.5709499999999998</v>
      </c>
      <c r="AG96" s="3">
        <v>6.0765560000000001</v>
      </c>
      <c r="AH96" s="3">
        <v>6.8215000000000003</v>
      </c>
      <c r="AI96" s="3">
        <v>156.866524</v>
      </c>
      <c r="AJ96" s="3">
        <v>66.775199999999998</v>
      </c>
      <c r="AK96" s="3">
        <f t="shared" si="6"/>
        <v>2.9631959999999999</v>
      </c>
      <c r="AL96" s="3">
        <f t="shared" si="7"/>
        <v>1.8120000000000001</v>
      </c>
      <c r="AM96" s="3">
        <f t="shared" si="8"/>
        <v>26.029126399999999</v>
      </c>
      <c r="AN96" s="3">
        <f t="shared" si="9"/>
        <v>13.6226</v>
      </c>
      <c r="AO96" s="3">
        <f t="shared" si="10"/>
        <v>1.3892039999999999</v>
      </c>
      <c r="AP96" s="3">
        <f t="shared" si="11"/>
        <v>0.60929999999999995</v>
      </c>
      <c r="AQ96" s="3">
        <v>120</v>
      </c>
      <c r="AR96" s="3">
        <v>1.746</v>
      </c>
    </row>
    <row r="97" spans="1:44" ht="15.75" thickBot="1">
      <c r="A97" s="3">
        <v>0.3705</v>
      </c>
      <c r="B97" s="3">
        <v>0.3705</v>
      </c>
      <c r="C97" s="3">
        <v>0</v>
      </c>
      <c r="D97" s="3">
        <v>0</v>
      </c>
      <c r="E97" s="3">
        <v>0.23400000000000001</v>
      </c>
      <c r="F97" s="3">
        <v>0</v>
      </c>
      <c r="G97" s="3">
        <v>0</v>
      </c>
      <c r="H97" s="3">
        <v>2.5000000000000001E-2</v>
      </c>
      <c r="I97" s="3">
        <v>0</v>
      </c>
      <c r="J97" s="3">
        <v>0.97499999999999998</v>
      </c>
      <c r="K97" s="3">
        <v>0</v>
      </c>
      <c r="L97" s="3">
        <v>2.5000000000000001E-2</v>
      </c>
      <c r="M97" s="3">
        <v>0</v>
      </c>
      <c r="N97" s="3">
        <v>0</v>
      </c>
      <c r="O97" s="3">
        <v>0</v>
      </c>
      <c r="P97" s="8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19.125354999999999</v>
      </c>
      <c r="Z97" s="3">
        <v>14.430999999999999</v>
      </c>
      <c r="AA97" s="3">
        <v>1.4140349999999999</v>
      </c>
      <c r="AB97" s="3">
        <v>1.8605</v>
      </c>
      <c r="AC97" s="3">
        <v>25.601804999999999</v>
      </c>
      <c r="AD97" s="3">
        <v>10.78125</v>
      </c>
      <c r="AE97" s="3">
        <v>2.5579035000000001</v>
      </c>
      <c r="AF97" s="3">
        <v>2.5625</v>
      </c>
      <c r="AG97" s="3">
        <v>6.06332</v>
      </c>
      <c r="AH97" s="3">
        <v>6.8427499999999997</v>
      </c>
      <c r="AI97" s="3">
        <v>159.70603</v>
      </c>
      <c r="AJ97" s="3">
        <v>67.819000000000003</v>
      </c>
      <c r="AK97" s="3">
        <f t="shared" si="6"/>
        <v>2.9826199999999998</v>
      </c>
      <c r="AL97" s="3">
        <f t="shared" si="7"/>
        <v>1.8222499999999999</v>
      </c>
      <c r="AM97" s="3">
        <f t="shared" si="8"/>
        <v>26.537832999999999</v>
      </c>
      <c r="AN97" s="3">
        <f t="shared" si="9"/>
        <v>13.596500000000001</v>
      </c>
      <c r="AO97" s="3">
        <f t="shared" si="10"/>
        <v>1.3923799999999997</v>
      </c>
      <c r="AP97" s="3">
        <f t="shared" si="11"/>
        <v>0.61199999999999999</v>
      </c>
      <c r="AQ97" s="3">
        <v>115</v>
      </c>
      <c r="AR97" s="3">
        <v>1.42</v>
      </c>
    </row>
    <row r="98" spans="1:44" ht="15.75" thickBot="1">
      <c r="A98" s="3">
        <v>0.46300000000000002</v>
      </c>
      <c r="B98" s="3">
        <v>0.33300000000000002</v>
      </c>
      <c r="C98" s="3">
        <v>0</v>
      </c>
      <c r="D98" s="3">
        <v>0</v>
      </c>
      <c r="E98" s="3">
        <v>7.3999999999999996E-2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8">
        <v>0</v>
      </c>
      <c r="Q98" s="3">
        <v>0</v>
      </c>
      <c r="R98" s="3">
        <v>0</v>
      </c>
      <c r="S98" s="3">
        <v>0.13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16.660129999999999</v>
      </c>
      <c r="Z98" s="3">
        <v>14.6</v>
      </c>
      <c r="AA98" s="3">
        <v>1.4878100000000001</v>
      </c>
      <c r="AB98" s="3">
        <v>1.86</v>
      </c>
      <c r="AC98" s="3">
        <v>21.989429999999999</v>
      </c>
      <c r="AD98" s="3">
        <v>10.64</v>
      </c>
      <c r="AE98" s="3">
        <v>2.2539009999999999</v>
      </c>
      <c r="AF98" s="3">
        <v>2.58</v>
      </c>
      <c r="AG98" s="3">
        <v>6.2040199999999999</v>
      </c>
      <c r="AH98" s="3">
        <v>6.83</v>
      </c>
      <c r="AI98" s="3">
        <v>159.77467999999999</v>
      </c>
      <c r="AJ98" s="3">
        <v>67.293999999999997</v>
      </c>
      <c r="AK98" s="3">
        <f t="shared" si="6"/>
        <v>2.8977200000000001</v>
      </c>
      <c r="AL98" s="3">
        <f t="shared" si="7"/>
        <v>1.81</v>
      </c>
      <c r="AM98" s="3">
        <f t="shared" si="8"/>
        <v>34.127758</v>
      </c>
      <c r="AN98" s="3">
        <f t="shared" si="9"/>
        <v>13.57</v>
      </c>
      <c r="AO98" s="3">
        <f t="shared" si="10"/>
        <v>1.34918</v>
      </c>
      <c r="AP98" s="3">
        <f t="shared" si="11"/>
        <v>0.61</v>
      </c>
      <c r="AQ98" s="3">
        <v>106.9</v>
      </c>
      <c r="AR98" s="3">
        <v>0.88</v>
      </c>
    </row>
    <row r="99" spans="1:44" ht="15.75" thickBot="1">
      <c r="A99" s="3">
        <v>0.39250000000000002</v>
      </c>
      <c r="B99" s="3">
        <v>0.29249999999999998</v>
      </c>
      <c r="C99" s="3">
        <v>0</v>
      </c>
      <c r="D99" s="3">
        <v>0</v>
      </c>
      <c r="E99" s="3">
        <v>0.315</v>
      </c>
      <c r="F99" s="3">
        <v>0</v>
      </c>
      <c r="G99" s="3">
        <v>0</v>
      </c>
      <c r="H99" s="3">
        <v>0</v>
      </c>
      <c r="I99" s="3">
        <v>0</v>
      </c>
      <c r="J99" s="3">
        <v>0.9</v>
      </c>
      <c r="K99" s="3">
        <v>0</v>
      </c>
      <c r="L99" s="3">
        <v>0.05</v>
      </c>
      <c r="M99" s="3">
        <v>0</v>
      </c>
      <c r="N99" s="3">
        <v>0</v>
      </c>
      <c r="O99" s="3">
        <v>0</v>
      </c>
      <c r="P99" s="8">
        <v>0</v>
      </c>
      <c r="Q99" s="3">
        <v>0.05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18.650675</v>
      </c>
      <c r="Z99" s="3">
        <v>14.061999999999999</v>
      </c>
      <c r="AA99" s="3">
        <v>1.4562250000000001</v>
      </c>
      <c r="AB99" s="3">
        <v>1.8334999999999999</v>
      </c>
      <c r="AC99" s="3">
        <v>26.010925</v>
      </c>
      <c r="AD99" s="3">
        <v>11.0905</v>
      </c>
      <c r="AE99" s="3">
        <v>2.5700975000000001</v>
      </c>
      <c r="AF99" s="3">
        <v>2.5175000000000001</v>
      </c>
      <c r="AG99" s="3">
        <v>6.1532</v>
      </c>
      <c r="AH99" s="3">
        <v>6.8959999999999999</v>
      </c>
      <c r="AI99" s="3">
        <v>166.78380000000001</v>
      </c>
      <c r="AJ99" s="3">
        <v>70.665000000000006</v>
      </c>
      <c r="AK99" s="3">
        <f t="shared" si="6"/>
        <v>2.8939499999999998</v>
      </c>
      <c r="AL99" s="3">
        <f t="shared" si="7"/>
        <v>1.859</v>
      </c>
      <c r="AM99" s="3">
        <f t="shared" si="8"/>
        <v>23.860355000000002</v>
      </c>
      <c r="AN99" s="3">
        <f t="shared" si="9"/>
        <v>13.696000000000002</v>
      </c>
      <c r="AO99" s="3">
        <f t="shared" si="10"/>
        <v>1.39005</v>
      </c>
      <c r="AP99" s="3">
        <f t="shared" si="11"/>
        <v>0.61950000000000005</v>
      </c>
      <c r="AQ99" s="3">
        <v>405</v>
      </c>
      <c r="AR99" s="3">
        <v>6.68</v>
      </c>
    </row>
    <row r="100" spans="1:44" ht="15.75" thickBot="1">
      <c r="A100" s="3">
        <v>0.40600000000000003</v>
      </c>
      <c r="B100" s="3">
        <v>0.28599999999999998</v>
      </c>
      <c r="C100" s="3">
        <v>0</v>
      </c>
      <c r="D100" s="3">
        <v>0</v>
      </c>
      <c r="E100" s="3">
        <v>0.308</v>
      </c>
      <c r="F100" s="3">
        <v>0</v>
      </c>
      <c r="G100" s="3">
        <v>0</v>
      </c>
      <c r="H100" s="3">
        <v>0</v>
      </c>
      <c r="I100" s="3">
        <v>0</v>
      </c>
      <c r="J100" s="3">
        <v>0.88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8">
        <v>0</v>
      </c>
      <c r="Q100" s="3">
        <v>0.06</v>
      </c>
      <c r="R100" s="3">
        <v>0.06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18.400659999999998</v>
      </c>
      <c r="Z100" s="3">
        <v>14.456</v>
      </c>
      <c r="AA100" s="3">
        <v>1.47142</v>
      </c>
      <c r="AB100" s="3">
        <v>1.8191999999999999</v>
      </c>
      <c r="AC100" s="3">
        <v>25.906459999999999</v>
      </c>
      <c r="AD100" s="3">
        <v>11.009600000000001</v>
      </c>
      <c r="AE100" s="3">
        <v>2.5573619999999999</v>
      </c>
      <c r="AF100" s="3">
        <v>2.5668000000000002</v>
      </c>
      <c r="AG100" s="3">
        <v>6.1782399999999997</v>
      </c>
      <c r="AH100" s="3">
        <v>6.8780000000000001</v>
      </c>
      <c r="AI100" s="3">
        <v>172.92016000000001</v>
      </c>
      <c r="AJ100" s="3">
        <v>72.947999999999993</v>
      </c>
      <c r="AK100" s="3">
        <f t="shared" si="6"/>
        <v>2.8796400000000002</v>
      </c>
      <c r="AL100" s="3">
        <f t="shared" si="7"/>
        <v>1.8435999999999999</v>
      </c>
      <c r="AM100" s="3">
        <f t="shared" si="8"/>
        <v>23.701235999999998</v>
      </c>
      <c r="AN100" s="3">
        <f t="shared" si="9"/>
        <v>13.743400000000001</v>
      </c>
      <c r="AO100" s="3">
        <f t="shared" si="10"/>
        <v>1.38916</v>
      </c>
      <c r="AP100" s="3">
        <f t="shared" si="11"/>
        <v>0.62259999999999993</v>
      </c>
      <c r="AQ100" s="3">
        <v>200</v>
      </c>
      <c r="AR100" s="3">
        <v>5.59</v>
      </c>
    </row>
    <row r="101" spans="1:44" ht="15.75" thickBot="1">
      <c r="A101" s="3">
        <v>0.25800000000000001</v>
      </c>
      <c r="B101" s="3">
        <v>0.25800000000000001</v>
      </c>
      <c r="C101" s="3">
        <v>0</v>
      </c>
      <c r="D101" s="3">
        <v>0</v>
      </c>
      <c r="E101" s="3">
        <v>0.442</v>
      </c>
      <c r="F101" s="3">
        <v>0</v>
      </c>
      <c r="G101" s="3">
        <v>0</v>
      </c>
      <c r="H101" s="3">
        <v>0</v>
      </c>
      <c r="I101" s="3">
        <v>2.8000000000000001E-2</v>
      </c>
      <c r="J101" s="3">
        <v>0.86</v>
      </c>
      <c r="K101" s="3">
        <v>0.14000000000000001</v>
      </c>
      <c r="L101" s="3">
        <v>0</v>
      </c>
      <c r="M101" s="3">
        <v>0</v>
      </c>
      <c r="N101" s="3">
        <v>0</v>
      </c>
      <c r="O101" s="3">
        <v>0</v>
      </c>
      <c r="P101" s="8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21.199580000000001</v>
      </c>
      <c r="Z101" s="3">
        <v>15.061999999999999</v>
      </c>
      <c r="AA101" s="3">
        <v>1.319</v>
      </c>
      <c r="AB101" s="3">
        <v>1.8375999999999999</v>
      </c>
      <c r="AC101" s="3">
        <v>27.261620000000001</v>
      </c>
      <c r="AD101" s="3">
        <v>10.55376</v>
      </c>
      <c r="AE101" s="3">
        <v>2.703986</v>
      </c>
      <c r="AF101" s="3">
        <v>2.6143000000000001</v>
      </c>
      <c r="AG101" s="3">
        <v>5.8753000000000002</v>
      </c>
      <c r="AH101" s="3">
        <v>6.8019999999999996</v>
      </c>
      <c r="AI101" s="3">
        <v>156.40968000000001</v>
      </c>
      <c r="AJ101" s="3">
        <v>67.164000000000001</v>
      </c>
      <c r="AK101" s="3">
        <f t="shared" si="6"/>
        <v>2.9012399999999996</v>
      </c>
      <c r="AL101" s="3">
        <f t="shared" si="7"/>
        <v>1.831</v>
      </c>
      <c r="AM101" s="3">
        <f t="shared" si="8"/>
        <v>21.693328000000001</v>
      </c>
      <c r="AN101" s="3">
        <f t="shared" si="9"/>
        <v>13.504199999999999</v>
      </c>
      <c r="AO101" s="3">
        <f t="shared" si="10"/>
        <v>1.3814799999999998</v>
      </c>
      <c r="AP101" s="3">
        <f t="shared" si="11"/>
        <v>0.62539999999999996</v>
      </c>
      <c r="AQ101" s="3">
        <v>322</v>
      </c>
      <c r="AR101" s="3">
        <v>3.45</v>
      </c>
    </row>
    <row r="102" spans="1:44" ht="15.75" thickBot="1">
      <c r="A102" s="3">
        <v>0.22</v>
      </c>
      <c r="B102" s="3">
        <v>0.15</v>
      </c>
      <c r="C102" s="3">
        <v>0</v>
      </c>
      <c r="D102" s="3">
        <v>0</v>
      </c>
      <c r="E102" s="3">
        <v>0.59499999999999997</v>
      </c>
      <c r="F102" s="3">
        <v>0</v>
      </c>
      <c r="G102" s="3">
        <v>0</v>
      </c>
      <c r="H102" s="3">
        <v>0</v>
      </c>
      <c r="I102" s="3">
        <v>0</v>
      </c>
      <c r="J102" s="3">
        <v>1</v>
      </c>
      <c r="K102" s="8">
        <v>0</v>
      </c>
      <c r="L102" s="3">
        <v>0</v>
      </c>
      <c r="M102" s="3">
        <v>0</v>
      </c>
      <c r="N102" s="3">
        <v>0</v>
      </c>
      <c r="O102" s="3">
        <v>0</v>
      </c>
      <c r="P102" s="8">
        <v>0</v>
      </c>
      <c r="Q102" s="8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21.666499999999999</v>
      </c>
      <c r="Z102" s="3">
        <v>14.6</v>
      </c>
      <c r="AA102" s="3">
        <v>1.2766500000000001</v>
      </c>
      <c r="AB102" s="3">
        <v>1.86</v>
      </c>
      <c r="AC102" s="3">
        <v>28.4495</v>
      </c>
      <c r="AD102" s="3">
        <v>10.64</v>
      </c>
      <c r="AE102" s="3">
        <v>2.7467899999999998</v>
      </c>
      <c r="AF102" s="3">
        <v>2.58</v>
      </c>
      <c r="AG102" s="3">
        <v>5.7581499999999997</v>
      </c>
      <c r="AH102" s="3">
        <v>6.83</v>
      </c>
      <c r="AI102" s="3">
        <v>149.67310000000001</v>
      </c>
      <c r="AJ102" s="3">
        <v>64.52</v>
      </c>
      <c r="AK102" s="3">
        <f t="shared" si="6"/>
        <v>2.7919</v>
      </c>
      <c r="AL102" s="3">
        <f t="shared" si="7"/>
        <v>1.81</v>
      </c>
      <c r="AM102" s="3">
        <f t="shared" si="8"/>
        <v>17.329749999999997</v>
      </c>
      <c r="AN102" s="3">
        <f t="shared" si="9"/>
        <v>13.57</v>
      </c>
      <c r="AO102" s="3">
        <f t="shared" si="10"/>
        <v>1.3622999999999998</v>
      </c>
      <c r="AP102" s="3">
        <f t="shared" si="11"/>
        <v>0.61</v>
      </c>
      <c r="AQ102" s="3">
        <v>250</v>
      </c>
      <c r="AR102" s="3">
        <v>2.3199999999999998</v>
      </c>
    </row>
    <row r="103" spans="1:44" ht="15.75" thickBot="1">
      <c r="A103" s="3">
        <v>0.45500000000000002</v>
      </c>
      <c r="B103" s="3">
        <v>0.42499999999999999</v>
      </c>
      <c r="C103" s="3">
        <v>0</v>
      </c>
      <c r="D103" s="3">
        <v>0</v>
      </c>
      <c r="E103" s="3">
        <v>0.105</v>
      </c>
      <c r="F103" s="3">
        <v>0</v>
      </c>
      <c r="G103" s="3">
        <v>0</v>
      </c>
      <c r="H103" s="3">
        <v>0</v>
      </c>
      <c r="I103" s="3">
        <v>0</v>
      </c>
      <c r="J103" s="3">
        <v>0.85</v>
      </c>
      <c r="K103" s="8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0.1</v>
      </c>
      <c r="Q103" s="3">
        <v>0.05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16.511749999999999</v>
      </c>
      <c r="Z103" s="3">
        <v>14.51</v>
      </c>
      <c r="AA103" s="3">
        <v>1.4705999999999999</v>
      </c>
      <c r="AB103" s="3">
        <v>1.8494999999999999</v>
      </c>
      <c r="AC103" s="3">
        <v>23.366250000000001</v>
      </c>
      <c r="AD103" s="3">
        <v>10.827</v>
      </c>
      <c r="AE103" s="3">
        <v>2.3719350000000001</v>
      </c>
      <c r="AF103" s="3">
        <v>2.5705</v>
      </c>
      <c r="AG103" s="3">
        <v>6.0943500000000004</v>
      </c>
      <c r="AH103" s="3">
        <v>6.8635000000000002</v>
      </c>
      <c r="AI103" s="3">
        <v>165.32839999999999</v>
      </c>
      <c r="AJ103" s="3">
        <v>69.83</v>
      </c>
      <c r="AK103" s="3">
        <f t="shared" si="6"/>
        <v>2.9156</v>
      </c>
      <c r="AL103" s="3">
        <f t="shared" si="7"/>
        <v>1.8285</v>
      </c>
      <c r="AM103" s="3">
        <f t="shared" si="8"/>
        <v>28.853200000000001</v>
      </c>
      <c r="AN103" s="3">
        <f t="shared" si="9"/>
        <v>13.686</v>
      </c>
      <c r="AO103" s="3">
        <f t="shared" si="10"/>
        <v>1.3562000000000001</v>
      </c>
      <c r="AP103" s="3">
        <f t="shared" si="11"/>
        <v>0.62250000000000005</v>
      </c>
      <c r="AQ103" s="3">
        <v>200</v>
      </c>
      <c r="AR103" s="3">
        <v>3.6</v>
      </c>
    </row>
    <row r="104" spans="1:44" ht="15.75" thickBot="1">
      <c r="A104" s="3">
        <v>0.25</v>
      </c>
      <c r="B104" s="3">
        <v>0.25</v>
      </c>
      <c r="C104" s="3">
        <v>0</v>
      </c>
      <c r="D104" s="3">
        <v>0</v>
      </c>
      <c r="E104" s="3">
        <v>0.3</v>
      </c>
      <c r="F104" s="3">
        <v>0</v>
      </c>
      <c r="G104" s="3">
        <v>0</v>
      </c>
      <c r="H104" s="3">
        <v>0.2</v>
      </c>
      <c r="I104" s="3">
        <v>0</v>
      </c>
      <c r="J104" s="3">
        <v>1</v>
      </c>
      <c r="K104" s="8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24.0975</v>
      </c>
      <c r="Z104" s="3">
        <v>14.6</v>
      </c>
      <c r="AA104" s="3">
        <v>1.3125</v>
      </c>
      <c r="AB104" s="3">
        <v>1.86</v>
      </c>
      <c r="AC104" s="3">
        <v>29.086500000000001</v>
      </c>
      <c r="AD104" s="3">
        <v>10.64</v>
      </c>
      <c r="AE104" s="3">
        <v>2.8051499999999998</v>
      </c>
      <c r="AF104" s="3">
        <v>2.58</v>
      </c>
      <c r="AG104" s="3">
        <v>5.8540000000000001</v>
      </c>
      <c r="AH104" s="3">
        <v>6.83</v>
      </c>
      <c r="AI104" s="3">
        <v>159.88999999999999</v>
      </c>
      <c r="AJ104" s="3">
        <v>68.099999999999994</v>
      </c>
      <c r="AK104" s="3">
        <f t="shared" si="6"/>
        <v>3.0409999999999999</v>
      </c>
      <c r="AL104" s="3">
        <f t="shared" si="7"/>
        <v>1.81</v>
      </c>
      <c r="AM104" s="3">
        <f t="shared" si="8"/>
        <v>21.305500000000002</v>
      </c>
      <c r="AN104" s="3">
        <f t="shared" si="9"/>
        <v>13.57</v>
      </c>
      <c r="AO104" s="3">
        <f t="shared" si="10"/>
        <v>1.4390000000000001</v>
      </c>
      <c r="AP104" s="3">
        <f t="shared" si="11"/>
        <v>0.61</v>
      </c>
      <c r="AQ104" s="3">
        <v>170</v>
      </c>
      <c r="AR104" s="3">
        <v>1.62</v>
      </c>
    </row>
    <row r="105" spans="1:44" ht="15.75" thickBot="1">
      <c r="A105" s="3">
        <v>0.15</v>
      </c>
      <c r="B105" s="3">
        <v>0.15</v>
      </c>
      <c r="C105" s="3">
        <v>0</v>
      </c>
      <c r="D105" s="3">
        <v>0</v>
      </c>
      <c r="E105" s="3">
        <v>0.315</v>
      </c>
      <c r="F105" s="3">
        <v>0</v>
      </c>
      <c r="G105" s="3">
        <v>0</v>
      </c>
      <c r="H105" s="3">
        <v>0.38500000000000001</v>
      </c>
      <c r="I105" s="3">
        <v>0</v>
      </c>
      <c r="J105" s="8">
        <v>1</v>
      </c>
      <c r="K105" s="8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28.704999999999998</v>
      </c>
      <c r="Z105" s="3">
        <v>14.6</v>
      </c>
      <c r="AA105" s="3">
        <v>1.2262500000000001</v>
      </c>
      <c r="AB105" s="3">
        <v>1.86</v>
      </c>
      <c r="AC105" s="3">
        <v>32.1462</v>
      </c>
      <c r="AD105" s="3">
        <v>10.64</v>
      </c>
      <c r="AE105" s="3">
        <v>3.01797</v>
      </c>
      <c r="AF105" s="3">
        <v>2.58</v>
      </c>
      <c r="AG105" s="3">
        <v>5.6612</v>
      </c>
      <c r="AH105" s="3">
        <v>6.83</v>
      </c>
      <c r="AI105" s="3">
        <v>163.524</v>
      </c>
      <c r="AJ105" s="3">
        <v>69.63</v>
      </c>
      <c r="AK105" s="3">
        <f t="shared" si="6"/>
        <v>3.1065500000000004</v>
      </c>
      <c r="AL105" s="3">
        <f t="shared" si="7"/>
        <v>1.81</v>
      </c>
      <c r="AM105" s="3">
        <f t="shared" si="8"/>
        <v>16.922350000000002</v>
      </c>
      <c r="AN105" s="3">
        <f t="shared" si="9"/>
        <v>13.57</v>
      </c>
      <c r="AO105" s="3">
        <f t="shared" si="10"/>
        <v>1.48445</v>
      </c>
      <c r="AP105" s="3">
        <f t="shared" si="11"/>
        <v>0.61</v>
      </c>
      <c r="AQ105" s="3">
        <v>206</v>
      </c>
      <c r="AR105" s="3">
        <v>1.73</v>
      </c>
    </row>
    <row r="106" spans="1:44" ht="15.75" thickBot="1">
      <c r="A106" s="3">
        <v>0.25</v>
      </c>
      <c r="B106" s="3">
        <v>0.25</v>
      </c>
      <c r="C106" s="3">
        <v>0</v>
      </c>
      <c r="D106" s="3">
        <v>0</v>
      </c>
      <c r="E106" s="3">
        <v>0.35</v>
      </c>
      <c r="F106" s="3">
        <v>0</v>
      </c>
      <c r="G106" s="3">
        <v>0</v>
      </c>
      <c r="H106" s="3">
        <v>0.15</v>
      </c>
      <c r="I106" s="3">
        <v>0</v>
      </c>
      <c r="J106" s="3">
        <v>1</v>
      </c>
      <c r="K106" s="8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23.4925</v>
      </c>
      <c r="Z106" s="3">
        <v>14.6</v>
      </c>
      <c r="AA106" s="3">
        <v>1.3149999999999999</v>
      </c>
      <c r="AB106" s="3">
        <v>1.86</v>
      </c>
      <c r="AC106" s="3">
        <v>28.875499999999999</v>
      </c>
      <c r="AD106" s="3">
        <v>10.64</v>
      </c>
      <c r="AE106" s="3">
        <v>2.79555</v>
      </c>
      <c r="AF106" s="3">
        <v>2.58</v>
      </c>
      <c r="AG106" s="3">
        <v>5.8780000000000001</v>
      </c>
      <c r="AH106" s="3">
        <v>6.83</v>
      </c>
      <c r="AI106" s="3">
        <v>157.38999999999999</v>
      </c>
      <c r="AJ106" s="3">
        <v>67.2</v>
      </c>
      <c r="AK106" s="3">
        <f t="shared" si="6"/>
        <v>3.0195000000000003</v>
      </c>
      <c r="AL106" s="3">
        <f t="shared" si="7"/>
        <v>1.81</v>
      </c>
      <c r="AM106" s="3">
        <f t="shared" si="8"/>
        <v>21.356999999999999</v>
      </c>
      <c r="AN106" s="3">
        <f t="shared" si="9"/>
        <v>13.57</v>
      </c>
      <c r="AO106" s="3">
        <f t="shared" si="10"/>
        <v>1.4305000000000001</v>
      </c>
      <c r="AP106" s="3">
        <f t="shared" si="11"/>
        <v>0.61</v>
      </c>
      <c r="AQ106" s="3">
        <v>100</v>
      </c>
      <c r="AR106" s="3">
        <v>1.04</v>
      </c>
    </row>
    <row r="107" spans="1:44" ht="15.75" thickBot="1">
      <c r="A107" s="5">
        <v>0.375</v>
      </c>
      <c r="B107" s="5">
        <v>0.375</v>
      </c>
      <c r="C107" s="3">
        <v>0</v>
      </c>
      <c r="D107" s="3">
        <v>0</v>
      </c>
      <c r="E107" s="5">
        <v>0.15</v>
      </c>
      <c r="F107" s="3">
        <v>0</v>
      </c>
      <c r="G107" s="3">
        <v>0</v>
      </c>
      <c r="H107" s="5">
        <v>2.5000000000000001E-2</v>
      </c>
      <c r="I107" s="5">
        <v>0.05</v>
      </c>
      <c r="J107" s="8">
        <v>1</v>
      </c>
      <c r="K107" s="8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18.50375</v>
      </c>
      <c r="Z107" s="3">
        <v>14.6</v>
      </c>
      <c r="AA107" s="3">
        <v>1.40025</v>
      </c>
      <c r="AB107" s="3">
        <v>1.86</v>
      </c>
      <c r="AC107" s="3">
        <v>24.073250000000002</v>
      </c>
      <c r="AD107" s="3">
        <v>10.64</v>
      </c>
      <c r="AE107" s="3">
        <v>2.4631750000000001</v>
      </c>
      <c r="AF107" s="3">
        <v>2.58</v>
      </c>
      <c r="AG107" s="3">
        <v>5.9197499999999996</v>
      </c>
      <c r="AH107" s="3">
        <v>6.83</v>
      </c>
      <c r="AI107" s="3">
        <v>158.51249999999999</v>
      </c>
      <c r="AJ107" s="3">
        <v>67.2</v>
      </c>
      <c r="AK107" s="3">
        <f t="shared" si="6"/>
        <v>2.8852500000000001</v>
      </c>
      <c r="AL107" s="3">
        <f t="shared" si="7"/>
        <v>1.81</v>
      </c>
      <c r="AM107" s="3">
        <f t="shared" si="8"/>
        <v>26.452249999999999</v>
      </c>
      <c r="AN107" s="3">
        <f t="shared" si="9"/>
        <v>13.57</v>
      </c>
      <c r="AO107" s="3">
        <f t="shared" si="10"/>
        <v>1.35175</v>
      </c>
      <c r="AP107" s="3">
        <f t="shared" si="11"/>
        <v>0.61</v>
      </c>
      <c r="AQ107" s="5">
        <v>250</v>
      </c>
      <c r="AR107" s="5">
        <v>3.18</v>
      </c>
    </row>
    <row r="108" spans="1:44" ht="15.75" thickBot="1">
      <c r="A108" s="3">
        <v>0.2</v>
      </c>
      <c r="B108" s="3">
        <v>0.2</v>
      </c>
      <c r="C108" s="3">
        <v>0</v>
      </c>
      <c r="D108" s="3">
        <v>0</v>
      </c>
      <c r="E108" s="3">
        <v>0.18</v>
      </c>
      <c r="F108" s="3">
        <v>0</v>
      </c>
      <c r="G108" s="3">
        <v>0</v>
      </c>
      <c r="H108" s="3">
        <v>0.42</v>
      </c>
      <c r="I108" s="3">
        <v>0</v>
      </c>
      <c r="J108" s="3">
        <v>0.88</v>
      </c>
      <c r="K108" s="3">
        <v>0.12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27.943999999999999</v>
      </c>
      <c r="Z108" s="3">
        <v>14.996</v>
      </c>
      <c r="AA108" s="3">
        <v>1.2629999999999999</v>
      </c>
      <c r="AB108" s="3">
        <v>1.8408</v>
      </c>
      <c r="AC108" s="3">
        <v>31.154399999999999</v>
      </c>
      <c r="AD108" s="3">
        <v>10.566079999999999</v>
      </c>
      <c r="AE108" s="3">
        <v>2.9360400000000002</v>
      </c>
      <c r="AF108" s="3">
        <v>2.6093999999999999</v>
      </c>
      <c r="AG108" s="3">
        <v>5.6963999999999997</v>
      </c>
      <c r="AH108" s="3">
        <v>6.806</v>
      </c>
      <c r="AI108" s="3">
        <v>173.11600000000001</v>
      </c>
      <c r="AJ108" s="3">
        <v>73.319999999999993</v>
      </c>
      <c r="AK108" s="3">
        <f t="shared" si="6"/>
        <v>3.1286</v>
      </c>
      <c r="AL108" s="3">
        <f t="shared" si="7"/>
        <v>1.8280000000000001</v>
      </c>
      <c r="AM108" s="3">
        <f t="shared" si="8"/>
        <v>18.982600000000001</v>
      </c>
      <c r="AN108" s="3">
        <f t="shared" si="9"/>
        <v>13.5136</v>
      </c>
      <c r="AO108" s="3">
        <f t="shared" si="10"/>
        <v>1.4834000000000001</v>
      </c>
      <c r="AP108" s="3">
        <f t="shared" si="11"/>
        <v>0.62319999999999998</v>
      </c>
      <c r="AQ108" s="3">
        <v>289</v>
      </c>
      <c r="AR108" s="3">
        <v>3.72</v>
      </c>
    </row>
    <row r="109" spans="1:44" ht="15.75" thickBot="1">
      <c r="A109" s="3">
        <v>0.32500000000000001</v>
      </c>
      <c r="B109" s="3">
        <v>0.32500000000000001</v>
      </c>
      <c r="C109" s="3">
        <v>0</v>
      </c>
      <c r="D109" s="3">
        <v>0</v>
      </c>
      <c r="E109" s="3">
        <v>0.245</v>
      </c>
      <c r="F109" s="3">
        <v>0</v>
      </c>
      <c r="G109" s="3">
        <v>0</v>
      </c>
      <c r="H109" s="3">
        <v>0.105</v>
      </c>
      <c r="I109" s="3">
        <v>0</v>
      </c>
      <c r="J109" s="3">
        <v>0.98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1.32E-2</v>
      </c>
      <c r="Q109" s="3">
        <v>6.6E-3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21.171250000000001</v>
      </c>
      <c r="Z109" s="3">
        <v>14.5852</v>
      </c>
      <c r="AA109" s="3">
        <v>1.375</v>
      </c>
      <c r="AB109" s="3">
        <v>1.8582419999999999</v>
      </c>
      <c r="AC109" s="3">
        <v>26.97635</v>
      </c>
      <c r="AD109" s="3">
        <v>10.662556</v>
      </c>
      <c r="AE109" s="3">
        <v>2.6539350000000002</v>
      </c>
      <c r="AF109" s="3">
        <v>2.57823</v>
      </c>
      <c r="AG109" s="3">
        <v>5.9775999999999998</v>
      </c>
      <c r="AH109" s="3">
        <v>6.833056</v>
      </c>
      <c r="AI109" s="3">
        <v>159.777548</v>
      </c>
      <c r="AJ109" s="3">
        <v>67.920400000000001</v>
      </c>
      <c r="AK109" s="3">
        <f t="shared" si="6"/>
        <v>3.01065</v>
      </c>
      <c r="AL109" s="3">
        <f t="shared" si="7"/>
        <v>1.8120799999999999</v>
      </c>
      <c r="AM109" s="3">
        <f t="shared" si="8"/>
        <v>24.547800000000002</v>
      </c>
      <c r="AN109" s="3">
        <f t="shared" si="9"/>
        <v>13.582597999999999</v>
      </c>
      <c r="AO109" s="3">
        <f t="shared" si="10"/>
        <v>1.41235</v>
      </c>
      <c r="AP109" s="3">
        <f t="shared" si="11"/>
        <v>0.61152799999999996</v>
      </c>
      <c r="AQ109" s="3">
        <v>96</v>
      </c>
      <c r="AR109" s="3">
        <v>0.92</v>
      </c>
    </row>
    <row r="110" spans="1:44" ht="15.75" thickBot="1">
      <c r="A110" s="3">
        <v>0.36</v>
      </c>
      <c r="B110" s="3">
        <v>0.46</v>
      </c>
      <c r="C110" s="3">
        <v>0</v>
      </c>
      <c r="D110" s="3">
        <v>0</v>
      </c>
      <c r="E110" s="3">
        <v>0.126</v>
      </c>
      <c r="F110" s="3">
        <v>0</v>
      </c>
      <c r="G110" s="3">
        <v>0</v>
      </c>
      <c r="H110" s="3">
        <v>5.3999999999999999E-2</v>
      </c>
      <c r="I110" s="3">
        <v>0</v>
      </c>
      <c r="J110" s="3">
        <v>0.89100000000000001</v>
      </c>
      <c r="K110" s="3">
        <v>0</v>
      </c>
      <c r="L110" s="3">
        <v>0</v>
      </c>
      <c r="M110" s="3">
        <v>8.9999999999999993E-3</v>
      </c>
      <c r="N110" s="3">
        <v>0</v>
      </c>
      <c r="O110" s="3">
        <v>0</v>
      </c>
      <c r="P110" s="3">
        <v>0.1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19.376000000000001</v>
      </c>
      <c r="Z110" s="3">
        <v>14.6965</v>
      </c>
      <c r="AA110" s="3">
        <v>1.3805000000000001</v>
      </c>
      <c r="AB110" s="3">
        <v>1.8777200000000001</v>
      </c>
      <c r="AC110" s="3">
        <v>24.947479999999999</v>
      </c>
      <c r="AD110" s="3">
        <v>10.66089</v>
      </c>
      <c r="AE110" s="3">
        <v>2.5260880000000001</v>
      </c>
      <c r="AF110" s="3">
        <v>2.5998899999999998</v>
      </c>
      <c r="AG110" s="3">
        <v>5.9834800000000001</v>
      </c>
      <c r="AH110" s="3">
        <v>6.8294800000000002</v>
      </c>
      <c r="AI110" s="3">
        <v>157.9676</v>
      </c>
      <c r="AJ110" s="3">
        <v>67.111000000000004</v>
      </c>
      <c r="AK110" s="3">
        <f t="shared" si="6"/>
        <v>3.0746199999999995</v>
      </c>
      <c r="AL110" s="3">
        <f t="shared" si="7"/>
        <v>1.8030100000000002</v>
      </c>
      <c r="AM110" s="3">
        <f t="shared" si="8"/>
        <v>29.693339999999999</v>
      </c>
      <c r="AN110" s="3">
        <f t="shared" si="9"/>
        <v>13.636400000000002</v>
      </c>
      <c r="AO110" s="3">
        <f t="shared" si="10"/>
        <v>1.39378</v>
      </c>
      <c r="AP110" s="3">
        <f t="shared" si="11"/>
        <v>0.61763000000000012</v>
      </c>
      <c r="AQ110" s="3">
        <v>270</v>
      </c>
      <c r="AR110" s="3">
        <v>3.12</v>
      </c>
    </row>
    <row r="111" spans="1:44" ht="15.75" thickBot="1">
      <c r="A111" s="3">
        <v>0.34525</v>
      </c>
      <c r="B111" s="3">
        <v>0.31524999999999997</v>
      </c>
      <c r="C111" s="3">
        <v>0</v>
      </c>
      <c r="D111" s="3">
        <v>0</v>
      </c>
      <c r="E111" s="3">
        <v>0.23765</v>
      </c>
      <c r="F111" s="3">
        <v>0</v>
      </c>
      <c r="G111" s="3">
        <v>0</v>
      </c>
      <c r="H111" s="3">
        <v>0.10185</v>
      </c>
      <c r="I111" s="3">
        <v>0</v>
      </c>
      <c r="J111" s="3">
        <v>0.97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0.03</v>
      </c>
      <c r="X111" s="3">
        <v>0</v>
      </c>
      <c r="Y111" s="3">
        <v>20.758112499999999</v>
      </c>
      <c r="Z111" s="3">
        <v>14.36</v>
      </c>
      <c r="AA111" s="3">
        <v>1.39795</v>
      </c>
      <c r="AB111" s="3">
        <v>1.8684000000000001</v>
      </c>
      <c r="AC111" s="3">
        <v>26.806359499999999</v>
      </c>
      <c r="AD111" s="3">
        <v>10.8665</v>
      </c>
      <c r="AE111" s="3">
        <v>2.63422695</v>
      </c>
      <c r="AF111" s="3">
        <v>2.5555500000000002</v>
      </c>
      <c r="AG111" s="3">
        <v>6.0166719999999998</v>
      </c>
      <c r="AH111" s="3">
        <v>6.8830999999999998</v>
      </c>
      <c r="AI111" s="3">
        <v>164.49364</v>
      </c>
      <c r="AJ111" s="3">
        <v>69.727800000000002</v>
      </c>
      <c r="AK111" s="3">
        <f t="shared" si="6"/>
        <v>2.9878304999999994</v>
      </c>
      <c r="AL111" s="3">
        <f t="shared" si="7"/>
        <v>1.8202</v>
      </c>
      <c r="AM111" s="3">
        <f t="shared" si="8"/>
        <v>24.312366000000001</v>
      </c>
      <c r="AN111" s="3">
        <f t="shared" si="9"/>
        <v>13.661800000000001</v>
      </c>
      <c r="AO111" s="3">
        <f t="shared" si="10"/>
        <v>1.4104794999999999</v>
      </c>
      <c r="AP111" s="3">
        <f t="shared" si="11"/>
        <v>0.60970000000000002</v>
      </c>
      <c r="AQ111" s="3">
        <v>150</v>
      </c>
      <c r="AR111" s="3">
        <v>1.83</v>
      </c>
    </row>
    <row r="112" spans="1:44" ht="15.75" thickBot="1">
      <c r="A112" s="3">
        <v>0.38500000000000001</v>
      </c>
      <c r="B112" s="3">
        <v>0.32500000000000001</v>
      </c>
      <c r="C112" s="3">
        <v>0</v>
      </c>
      <c r="D112" s="3">
        <v>0</v>
      </c>
      <c r="E112" s="3">
        <v>0.155</v>
      </c>
      <c r="F112" s="3">
        <v>0</v>
      </c>
      <c r="G112" s="3">
        <v>0</v>
      </c>
      <c r="H112" s="3">
        <v>0.105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19.131250000000001</v>
      </c>
      <c r="Z112" s="3">
        <v>14.6</v>
      </c>
      <c r="AA112" s="3">
        <v>1.4016999999999999</v>
      </c>
      <c r="AB112" s="3">
        <v>1.86</v>
      </c>
      <c r="AC112" s="3">
        <v>25.20035</v>
      </c>
      <c r="AD112" s="3">
        <v>10.64</v>
      </c>
      <c r="AE112" s="3">
        <v>2.484855</v>
      </c>
      <c r="AF112" s="3">
        <v>2.58</v>
      </c>
      <c r="AG112" s="3">
        <v>5.9023000000000003</v>
      </c>
      <c r="AH112" s="3">
        <v>6.83</v>
      </c>
      <c r="AI112" s="3">
        <v>163.97980000000001</v>
      </c>
      <c r="AJ112" s="3">
        <v>69.3</v>
      </c>
      <c r="AK112" s="3">
        <f t="shared" si="6"/>
        <v>2.8828499999999999</v>
      </c>
      <c r="AL112" s="3">
        <f t="shared" si="7"/>
        <v>1.81</v>
      </c>
      <c r="AM112" s="3">
        <f t="shared" si="8"/>
        <v>24.557100000000002</v>
      </c>
      <c r="AN112" s="3">
        <f t="shared" si="9"/>
        <v>13.57</v>
      </c>
      <c r="AO112" s="3">
        <f t="shared" si="10"/>
        <v>1.36375</v>
      </c>
      <c r="AP112" s="3">
        <f t="shared" si="11"/>
        <v>0.61</v>
      </c>
      <c r="AQ112" s="3">
        <v>110</v>
      </c>
      <c r="AR112" s="3">
        <v>1.8</v>
      </c>
    </row>
    <row r="113" spans="1:44" ht="15.75" thickBot="1">
      <c r="A113" s="3">
        <v>0.5</v>
      </c>
      <c r="B113" s="3">
        <v>0.41</v>
      </c>
      <c r="C113" s="3">
        <v>0.09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0.96</v>
      </c>
      <c r="K113" s="3">
        <v>0</v>
      </c>
      <c r="L113" s="3">
        <v>0</v>
      </c>
      <c r="M113" s="3">
        <v>0.04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0.01</v>
      </c>
      <c r="T113" s="3">
        <v>0</v>
      </c>
      <c r="U113" s="3">
        <v>0</v>
      </c>
      <c r="V113" s="3">
        <v>0</v>
      </c>
      <c r="W113" s="3">
        <v>0.01</v>
      </c>
      <c r="X113" s="3">
        <v>0</v>
      </c>
      <c r="Y113" s="3">
        <v>17.703800000000001</v>
      </c>
      <c r="Z113" s="3">
        <v>14.606</v>
      </c>
      <c r="AA113" s="3">
        <v>1.5159</v>
      </c>
      <c r="AB113" s="3">
        <v>1.8846000000000001</v>
      </c>
      <c r="AC113" s="3">
        <v>24.669599999999999</v>
      </c>
      <c r="AD113" s="3">
        <v>10.830299999999999</v>
      </c>
      <c r="AE113" s="3">
        <v>2.4331999999999998</v>
      </c>
      <c r="AF113" s="3">
        <v>2.6060500000000002</v>
      </c>
      <c r="AG113" s="3">
        <v>6.1919000000000004</v>
      </c>
      <c r="AH113" s="3">
        <v>6.9447999999999999</v>
      </c>
      <c r="AI113" s="3">
        <v>171.97579999999999</v>
      </c>
      <c r="AJ113" s="3">
        <v>72.3</v>
      </c>
      <c r="AK113" s="3">
        <f t="shared" si="6"/>
        <v>3.0989000000000004</v>
      </c>
      <c r="AL113" s="3">
        <f t="shared" si="7"/>
        <v>1.8271000000000002</v>
      </c>
      <c r="AM113" s="3">
        <f t="shared" si="8"/>
        <v>31.340359999999997</v>
      </c>
      <c r="AN113" s="3">
        <f t="shared" si="9"/>
        <v>13.840300000000001</v>
      </c>
      <c r="AO113" s="3">
        <f t="shared" si="10"/>
        <v>1.4043999999999999</v>
      </c>
      <c r="AP113" s="3">
        <f t="shared" si="11"/>
        <v>0.61880000000000002</v>
      </c>
      <c r="AQ113" s="3">
        <v>65</v>
      </c>
      <c r="AR113" s="3">
        <v>0.79</v>
      </c>
    </row>
    <row r="114" spans="1:44" ht="15.75" thickBot="1">
      <c r="A114" s="3">
        <v>0.47</v>
      </c>
      <c r="B114" s="3">
        <v>0.4</v>
      </c>
      <c r="C114" s="3">
        <v>0.1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0.03</v>
      </c>
      <c r="J114" s="3">
        <v>0.98</v>
      </c>
      <c r="K114" s="3">
        <v>0.02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18.361000000000001</v>
      </c>
      <c r="Z114" s="3">
        <v>14.666</v>
      </c>
      <c r="AA114" s="3">
        <v>1.4823</v>
      </c>
      <c r="AB114" s="3">
        <v>1.8568</v>
      </c>
      <c r="AC114" s="3">
        <v>24.793399999999998</v>
      </c>
      <c r="AD114" s="3">
        <v>10.62768</v>
      </c>
      <c r="AE114" s="3">
        <v>2.4599899999999999</v>
      </c>
      <c r="AF114" s="3">
        <v>2.5849000000000002</v>
      </c>
      <c r="AG114" s="3">
        <v>6.0787000000000004</v>
      </c>
      <c r="AH114" s="3">
        <v>6.8259999999999996</v>
      </c>
      <c r="AI114" s="3">
        <v>164.2646</v>
      </c>
      <c r="AJ114" s="3">
        <v>69.38</v>
      </c>
      <c r="AK114" s="3">
        <f t="shared" si="6"/>
        <v>3.0821000000000001</v>
      </c>
      <c r="AL114" s="3">
        <f t="shared" si="7"/>
        <v>1.8129999999999999</v>
      </c>
      <c r="AM114" s="3">
        <f t="shared" si="8"/>
        <v>30.258200000000002</v>
      </c>
      <c r="AN114" s="3">
        <f t="shared" si="9"/>
        <v>13.560600000000001</v>
      </c>
      <c r="AO114" s="3">
        <f t="shared" si="10"/>
        <v>1.3952999999999998</v>
      </c>
      <c r="AP114" s="3">
        <f t="shared" si="11"/>
        <v>0.61219999999999997</v>
      </c>
      <c r="AQ114" s="3">
        <v>80</v>
      </c>
      <c r="AR114" s="3">
        <v>1</v>
      </c>
    </row>
    <row r="115" spans="1:44" ht="15.75" thickBot="1">
      <c r="A115" s="3">
        <v>0.5</v>
      </c>
      <c r="B115" s="3">
        <v>0.41</v>
      </c>
      <c r="C115" s="3">
        <v>0.09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0.92</v>
      </c>
      <c r="K115" s="3">
        <v>0</v>
      </c>
      <c r="L115" s="3">
        <v>0</v>
      </c>
      <c r="M115" s="3">
        <v>0</v>
      </c>
      <c r="N115" s="3">
        <v>0</v>
      </c>
      <c r="O115" s="3">
        <v>0.04</v>
      </c>
      <c r="P115" s="3">
        <v>0.04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17.4605</v>
      </c>
      <c r="Z115" s="3">
        <v>14.332000000000001</v>
      </c>
      <c r="AA115" s="3">
        <v>1.5068999999999999</v>
      </c>
      <c r="AB115" s="3">
        <v>1.8580000000000001</v>
      </c>
      <c r="AC115" s="3">
        <v>24.539400000000001</v>
      </c>
      <c r="AD115" s="3">
        <v>10.622</v>
      </c>
      <c r="AE115" s="3">
        <v>2.4171</v>
      </c>
      <c r="AF115" s="3">
        <v>2.5510000000000002</v>
      </c>
      <c r="AG115" s="3">
        <v>6.1379999999999999</v>
      </c>
      <c r="AH115" s="3">
        <v>6.7931999999999997</v>
      </c>
      <c r="AI115" s="3">
        <v>166.32740000000001</v>
      </c>
      <c r="AJ115" s="3">
        <v>70.12</v>
      </c>
      <c r="AK115" s="3">
        <f t="shared" si="6"/>
        <v>3.0683000000000002</v>
      </c>
      <c r="AL115" s="3">
        <f t="shared" si="7"/>
        <v>1.8156000000000001</v>
      </c>
      <c r="AM115" s="3">
        <f t="shared" si="8"/>
        <v>30.583959999999998</v>
      </c>
      <c r="AN115" s="3">
        <f t="shared" si="9"/>
        <v>13.797600000000001</v>
      </c>
      <c r="AO115" s="3">
        <f t="shared" si="10"/>
        <v>1.3924999999999998</v>
      </c>
      <c r="AP115" s="3">
        <f t="shared" si="11"/>
        <v>0.61</v>
      </c>
      <c r="AQ115" s="3">
        <v>105</v>
      </c>
      <c r="AR115" s="3">
        <v>1.41</v>
      </c>
    </row>
    <row r="116" spans="1:44" ht="15.75" thickBot="1">
      <c r="A116" s="3">
        <v>0.48499999999999999</v>
      </c>
      <c r="B116" s="3">
        <v>0.42</v>
      </c>
      <c r="C116" s="3">
        <v>0.08</v>
      </c>
      <c r="D116" s="3">
        <v>0</v>
      </c>
      <c r="E116" s="3">
        <v>0</v>
      </c>
      <c r="F116" s="3">
        <v>0</v>
      </c>
      <c r="G116" s="3">
        <v>0</v>
      </c>
      <c r="H116" s="3">
        <v>0.03</v>
      </c>
      <c r="I116" s="3">
        <v>0</v>
      </c>
      <c r="J116" s="3">
        <v>0.99970000000000003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2.9999999999999997E-4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18.350999999999999</v>
      </c>
      <c r="Z116" s="3">
        <v>14.60033</v>
      </c>
      <c r="AA116" s="3">
        <v>1.5081</v>
      </c>
      <c r="AB116" s="3">
        <v>1.8600509999999999</v>
      </c>
      <c r="AC116" s="3">
        <v>25.142949999999999</v>
      </c>
      <c r="AD116" s="3">
        <v>10.640057000000001</v>
      </c>
      <c r="AE116" s="3">
        <v>2.4788049999999999</v>
      </c>
      <c r="AF116" s="3">
        <v>2.5800540000000001</v>
      </c>
      <c r="AG116" s="3">
        <v>6.1931000000000003</v>
      </c>
      <c r="AH116" s="3">
        <v>6.8299789999999998</v>
      </c>
      <c r="AI116" s="3">
        <v>166.22418500000001</v>
      </c>
      <c r="AJ116" s="3">
        <v>70.080699999999993</v>
      </c>
      <c r="AK116" s="3">
        <f t="shared" si="6"/>
        <v>3.1263499999999995</v>
      </c>
      <c r="AL116" s="3">
        <f t="shared" si="7"/>
        <v>1.8099820000000002</v>
      </c>
      <c r="AM116" s="3">
        <f t="shared" si="8"/>
        <v>30.790019999999998</v>
      </c>
      <c r="AN116" s="3">
        <f t="shared" si="9"/>
        <v>13.570129000000001</v>
      </c>
      <c r="AO116" s="3">
        <f t="shared" si="10"/>
        <v>1.41805</v>
      </c>
      <c r="AP116" s="3">
        <f t="shared" si="11"/>
        <v>0.61002100000000004</v>
      </c>
      <c r="AQ116" s="3">
        <v>60</v>
      </c>
      <c r="AR116" s="3">
        <v>0.67</v>
      </c>
    </row>
    <row r="117" spans="1:44" ht="15.75" thickBot="1">
      <c r="A117" s="3">
        <v>0.42</v>
      </c>
      <c r="B117" s="3">
        <v>0.5</v>
      </c>
      <c r="C117" s="3">
        <v>0.08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0.84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0.16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18.607800000000001</v>
      </c>
      <c r="Z117" s="3">
        <v>14.776</v>
      </c>
      <c r="AA117" s="3">
        <v>1.4077999999999999</v>
      </c>
      <c r="AB117" s="3">
        <v>1.8872</v>
      </c>
      <c r="AC117" s="3">
        <v>24.5154</v>
      </c>
      <c r="AD117" s="3">
        <v>10.670400000000001</v>
      </c>
      <c r="AE117" s="3">
        <v>2.4589400000000001</v>
      </c>
      <c r="AF117" s="3">
        <v>2.6088</v>
      </c>
      <c r="AG117" s="3">
        <v>5.9748000000000001</v>
      </c>
      <c r="AH117" s="3">
        <v>6.8188000000000004</v>
      </c>
      <c r="AI117" s="3">
        <v>157.5204</v>
      </c>
      <c r="AJ117" s="3">
        <v>66.92</v>
      </c>
      <c r="AK117" s="3">
        <f t="shared" si="6"/>
        <v>3.1779999999999999</v>
      </c>
      <c r="AL117" s="3">
        <f t="shared" si="7"/>
        <v>1.8004</v>
      </c>
      <c r="AM117" s="3">
        <f t="shared" si="8"/>
        <v>33.187399999999997</v>
      </c>
      <c r="AN117" s="3">
        <f t="shared" si="9"/>
        <v>13.6388</v>
      </c>
      <c r="AO117" s="3">
        <f t="shared" si="10"/>
        <v>1.3932</v>
      </c>
      <c r="AP117" s="3">
        <f t="shared" si="11"/>
        <v>0.62119999999999997</v>
      </c>
      <c r="AQ117" s="3">
        <v>100</v>
      </c>
      <c r="AR117" s="3">
        <v>1.2</v>
      </c>
    </row>
    <row r="118" spans="1:44" ht="15.75" thickBot="1">
      <c r="A118" s="3">
        <v>0.34</v>
      </c>
      <c r="B118" s="3">
        <v>0.34</v>
      </c>
      <c r="C118" s="3">
        <v>0</v>
      </c>
      <c r="D118" s="3">
        <v>0.15</v>
      </c>
      <c r="E118" s="3">
        <v>0</v>
      </c>
      <c r="F118" s="3">
        <v>0</v>
      </c>
      <c r="G118" s="3">
        <v>0</v>
      </c>
      <c r="H118" s="3">
        <v>0.17</v>
      </c>
      <c r="I118" s="3">
        <v>0</v>
      </c>
      <c r="J118" s="3">
        <v>0.85</v>
      </c>
      <c r="K118" s="3">
        <v>0.15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20.882400000000001</v>
      </c>
      <c r="Z118" s="3">
        <v>15.095000000000001</v>
      </c>
      <c r="AA118" s="3">
        <v>1.3893</v>
      </c>
      <c r="AB118" s="3">
        <v>1.8360000000000001</v>
      </c>
      <c r="AC118" s="3">
        <v>25.747800000000002</v>
      </c>
      <c r="AD118" s="3">
        <v>10.547599999999999</v>
      </c>
      <c r="AE118" s="3">
        <v>2.60832</v>
      </c>
      <c r="AF118" s="3">
        <v>2.6167500000000001</v>
      </c>
      <c r="AG118" s="3">
        <v>6.0250000000000004</v>
      </c>
      <c r="AH118" s="3">
        <v>6.8</v>
      </c>
      <c r="AI118" s="3">
        <v>162.54589999999999</v>
      </c>
      <c r="AJ118" s="3">
        <v>69.180000000000007</v>
      </c>
      <c r="AK118" s="3">
        <f t="shared" si="6"/>
        <v>3.0077000000000003</v>
      </c>
      <c r="AL118" s="3">
        <f t="shared" si="7"/>
        <v>1.8325</v>
      </c>
      <c r="AM118" s="3">
        <f t="shared" si="8"/>
        <v>25.235740000000003</v>
      </c>
      <c r="AN118" s="3">
        <f t="shared" si="9"/>
        <v>13.499499999999999</v>
      </c>
      <c r="AO118" s="3">
        <f t="shared" si="10"/>
        <v>1.4063000000000001</v>
      </c>
      <c r="AP118" s="3">
        <f t="shared" si="11"/>
        <v>0.62649999999999995</v>
      </c>
      <c r="AQ118" s="3">
        <v>540</v>
      </c>
      <c r="AR118" s="3">
        <v>9.0399999999999991</v>
      </c>
    </row>
    <row r="119" spans="1:44" ht="15.75" thickBot="1">
      <c r="A119" s="3">
        <v>0.41399999999999998</v>
      </c>
      <c r="B119" s="3">
        <v>0.51400000000000001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7.1999999999999995E-2</v>
      </c>
      <c r="I119" s="3">
        <v>0</v>
      </c>
      <c r="J119" s="3">
        <v>0.9</v>
      </c>
      <c r="K119" s="3">
        <v>0</v>
      </c>
      <c r="L119" s="3">
        <v>0</v>
      </c>
      <c r="M119" s="3">
        <v>0.1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18.314540000000001</v>
      </c>
      <c r="Z119" s="3">
        <v>14.45</v>
      </c>
      <c r="AA119" s="3">
        <v>1.4211800000000001</v>
      </c>
      <c r="AB119" s="3">
        <v>1.8680000000000001</v>
      </c>
      <c r="AC119" s="3">
        <v>23.79278</v>
      </c>
      <c r="AD119" s="3">
        <v>10.661</v>
      </c>
      <c r="AE119" s="3">
        <v>2.433802</v>
      </c>
      <c r="AF119" s="3">
        <v>2.601</v>
      </c>
      <c r="AG119" s="3">
        <v>6.0309999999999997</v>
      </c>
      <c r="AH119" s="3">
        <v>6.9020000000000001</v>
      </c>
      <c r="AI119" s="3">
        <v>169.50824</v>
      </c>
      <c r="AJ119" s="3">
        <v>71.147999999999996</v>
      </c>
      <c r="AK119" s="3">
        <f t="shared" si="6"/>
        <v>3.0899200000000002</v>
      </c>
      <c r="AL119" s="3">
        <f t="shared" si="7"/>
        <v>1.7989999999999999</v>
      </c>
      <c r="AM119" s="3">
        <f t="shared" si="8"/>
        <v>31.938803999999998</v>
      </c>
      <c r="AN119" s="3">
        <f t="shared" si="9"/>
        <v>13.830000000000002</v>
      </c>
      <c r="AO119" s="3">
        <f t="shared" si="10"/>
        <v>1.3892800000000001</v>
      </c>
      <c r="AP119" s="3">
        <f t="shared" si="11"/>
        <v>0.61699999999999999</v>
      </c>
      <c r="AQ119" s="3">
        <v>100</v>
      </c>
      <c r="AR119" s="3">
        <v>1.2</v>
      </c>
    </row>
    <row r="120" spans="1:44" ht="15.75" thickBot="1">
      <c r="A120" s="3">
        <v>0.40024999999999999</v>
      </c>
      <c r="B120" s="3">
        <v>0.49625000000000002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7.6499999999999999E-2</v>
      </c>
      <c r="I120" s="3">
        <v>0</v>
      </c>
      <c r="J120" s="3">
        <v>0.85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0.15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17.963487499999999</v>
      </c>
      <c r="Z120" s="3">
        <v>14.765000000000001</v>
      </c>
      <c r="AA120" s="3">
        <v>1.3808175</v>
      </c>
      <c r="AB120" s="3">
        <v>1.8855</v>
      </c>
      <c r="AC120" s="3">
        <v>23.249392499999999</v>
      </c>
      <c r="AD120" s="3">
        <v>10.6685</v>
      </c>
      <c r="AE120" s="3">
        <v>2.3746147500000001</v>
      </c>
      <c r="AF120" s="3">
        <v>2.6070000000000002</v>
      </c>
      <c r="AG120" s="3">
        <v>5.8631099999999998</v>
      </c>
      <c r="AH120" s="3">
        <v>6.8194999999999997</v>
      </c>
      <c r="AI120" s="3">
        <v>160.28992</v>
      </c>
      <c r="AJ120" s="3">
        <v>67.813500000000005</v>
      </c>
      <c r="AK120" s="3">
        <f t="shared" si="6"/>
        <v>3.0078499999999999</v>
      </c>
      <c r="AL120" s="3">
        <f t="shared" si="7"/>
        <v>1.8009999999999999</v>
      </c>
      <c r="AM120" s="3">
        <f t="shared" si="8"/>
        <v>30.914852500000002</v>
      </c>
      <c r="AN120" s="3">
        <f t="shared" si="9"/>
        <v>13.634499999999999</v>
      </c>
      <c r="AO120" s="3">
        <f t="shared" si="10"/>
        <v>1.3532900000000001</v>
      </c>
      <c r="AP120" s="3">
        <f t="shared" si="11"/>
        <v>0.62049999999999994</v>
      </c>
      <c r="AQ120" s="3">
        <v>142</v>
      </c>
      <c r="AR120" s="3">
        <v>1.2</v>
      </c>
    </row>
    <row r="121" spans="1:44" ht="15.75" thickBot="1">
      <c r="A121" s="3">
        <v>0.54949999999999999</v>
      </c>
      <c r="B121" s="3">
        <v>0.39950000000000002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5.0999999999999997E-2</v>
      </c>
      <c r="I121" s="3">
        <v>0</v>
      </c>
      <c r="J121" s="3">
        <v>0.85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4.9950000000000001E-2</v>
      </c>
      <c r="Q121" s="3">
        <v>9.9900000000000003E-2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15.722944999999999</v>
      </c>
      <c r="Z121" s="3">
        <v>14.253155</v>
      </c>
      <c r="AA121" s="3">
        <v>1.586565</v>
      </c>
      <c r="AB121" s="3">
        <v>1.8132675</v>
      </c>
      <c r="AC121" s="3">
        <v>23.156115</v>
      </c>
      <c r="AD121" s="3">
        <v>10.983558499999999</v>
      </c>
      <c r="AE121" s="3">
        <v>2.3295284999999999</v>
      </c>
      <c r="AF121" s="3">
        <v>2.5336590000000001</v>
      </c>
      <c r="AG121" s="3">
        <v>6.3194999999999997</v>
      </c>
      <c r="AH121" s="3">
        <v>6.9063980000000003</v>
      </c>
      <c r="AI121" s="3">
        <v>178.84137699999999</v>
      </c>
      <c r="AJ121" s="3">
        <v>74.805750000000003</v>
      </c>
      <c r="AK121" s="3">
        <f t="shared" si="6"/>
        <v>2.8973600000000004</v>
      </c>
      <c r="AL121" s="3">
        <f t="shared" si="7"/>
        <v>1.8556825000000001</v>
      </c>
      <c r="AM121" s="3">
        <f t="shared" si="8"/>
        <v>28.577407000000001</v>
      </c>
      <c r="AN121" s="3">
        <f t="shared" si="9"/>
        <v>13.735296999999999</v>
      </c>
      <c r="AO121" s="3">
        <f t="shared" si="10"/>
        <v>1.37924</v>
      </c>
      <c r="AP121" s="3">
        <f t="shared" si="11"/>
        <v>0.624394</v>
      </c>
      <c r="AQ121" s="3">
        <v>420</v>
      </c>
      <c r="AR121" s="3">
        <v>6.3</v>
      </c>
    </row>
    <row r="122" spans="1:44" ht="15.75" thickBot="1">
      <c r="A122" s="3">
        <v>0.374</v>
      </c>
      <c r="B122" s="3">
        <v>0.49399999999999999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0.12408</v>
      </c>
      <c r="I122" s="3">
        <v>0</v>
      </c>
      <c r="J122" s="3">
        <v>0.88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0.12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7.92E-3</v>
      </c>
      <c r="Y122" s="3">
        <v>19.832011999999999</v>
      </c>
      <c r="Z122" s="3">
        <v>14.731999999999999</v>
      </c>
      <c r="AA122" s="3">
        <v>1.3835303999999999</v>
      </c>
      <c r="AB122" s="3">
        <v>1.8804000000000001</v>
      </c>
      <c r="AC122" s="3">
        <v>24.610394400000001</v>
      </c>
      <c r="AD122" s="3">
        <v>10.662800000000001</v>
      </c>
      <c r="AE122" s="3">
        <v>2.5108869600000001</v>
      </c>
      <c r="AF122" s="3">
        <v>2.6015999999999999</v>
      </c>
      <c r="AG122" s="3">
        <v>5.9530056</v>
      </c>
      <c r="AH122" s="3">
        <v>6.8216000000000001</v>
      </c>
      <c r="AI122" s="3">
        <v>161.1561232</v>
      </c>
      <c r="AJ122" s="3">
        <v>68.195520000000002</v>
      </c>
      <c r="AK122" s="3">
        <f t="shared" si="6"/>
        <v>3.1182416000000002</v>
      </c>
      <c r="AL122" s="3">
        <f t="shared" si="7"/>
        <v>1.8028</v>
      </c>
      <c r="AM122" s="3">
        <f t="shared" si="8"/>
        <v>30.933558399999999</v>
      </c>
      <c r="AN122" s="3">
        <f t="shared" si="9"/>
        <v>13.621600000000001</v>
      </c>
      <c r="AO122" s="3">
        <f t="shared" si="10"/>
        <v>1.3989319999999998</v>
      </c>
      <c r="AP122" s="3">
        <f t="shared" si="11"/>
        <v>0.61839999999999995</v>
      </c>
      <c r="AQ122" s="3">
        <v>170</v>
      </c>
      <c r="AR122" s="3">
        <v>2.42</v>
      </c>
    </row>
    <row r="123" spans="1:44" ht="15.75" thickBot="1">
      <c r="A123" s="3">
        <v>0.37719999999999998</v>
      </c>
      <c r="B123" s="3">
        <v>0.47720000000000001</v>
      </c>
      <c r="C123" s="3">
        <v>0</v>
      </c>
      <c r="D123" s="3">
        <v>0</v>
      </c>
      <c r="E123" s="3">
        <v>0.08</v>
      </c>
      <c r="F123" s="3">
        <v>0</v>
      </c>
      <c r="G123" s="3">
        <v>0</v>
      </c>
      <c r="H123" s="3">
        <v>6.5600000000000006E-2</v>
      </c>
      <c r="I123" s="3">
        <v>0</v>
      </c>
      <c r="J123" s="3">
        <v>0.82</v>
      </c>
      <c r="K123" s="3">
        <v>0.08</v>
      </c>
      <c r="L123" s="3">
        <v>0</v>
      </c>
      <c r="M123" s="3">
        <v>0</v>
      </c>
      <c r="N123" s="3">
        <v>0</v>
      </c>
      <c r="O123" s="3">
        <v>0</v>
      </c>
      <c r="P123" s="3">
        <v>0.1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19.108892000000001</v>
      </c>
      <c r="Z123" s="3">
        <v>14.974</v>
      </c>
      <c r="AA123" s="3">
        <v>1.3931640000000001</v>
      </c>
      <c r="AB123" s="3">
        <v>1.8642000000000001</v>
      </c>
      <c r="AC123" s="3">
        <v>24.604444000000001</v>
      </c>
      <c r="AD123" s="3">
        <v>10.609719999999999</v>
      </c>
      <c r="AE123" s="3">
        <v>2.4978196000000001</v>
      </c>
      <c r="AF123" s="3">
        <v>2.6175999999999999</v>
      </c>
      <c r="AG123" s="3">
        <v>5.9958</v>
      </c>
      <c r="AH123" s="3">
        <v>6.8070000000000004</v>
      </c>
      <c r="AI123" s="3">
        <v>161.672552</v>
      </c>
      <c r="AJ123" s="3">
        <v>68.610399999999998</v>
      </c>
      <c r="AK123" s="3">
        <f t="shared" si="6"/>
        <v>3.0820160000000003</v>
      </c>
      <c r="AL123" s="3">
        <f t="shared" si="7"/>
        <v>1.8160000000000001</v>
      </c>
      <c r="AM123" s="3">
        <f t="shared" si="8"/>
        <v>30.402519199999997</v>
      </c>
      <c r="AN123" s="3">
        <f t="shared" si="9"/>
        <v>13.5754</v>
      </c>
      <c r="AO123" s="3">
        <f t="shared" si="10"/>
        <v>1.3933439999999999</v>
      </c>
      <c r="AP123" s="3">
        <f t="shared" si="11"/>
        <v>0.62579999999999991</v>
      </c>
      <c r="AQ123" s="3">
        <v>110</v>
      </c>
      <c r="AR123" s="3">
        <v>0.95</v>
      </c>
    </row>
    <row r="124" spans="1:44" ht="15.75" thickBot="1">
      <c r="A124" s="3">
        <v>0.36847999999999997</v>
      </c>
      <c r="B124" s="3">
        <v>0.57487999999999995</v>
      </c>
      <c r="C124" s="3">
        <v>0</v>
      </c>
      <c r="D124" s="3">
        <v>0</v>
      </c>
      <c r="E124" s="3">
        <v>1.2800000000000001E-2</v>
      </c>
      <c r="F124" s="3">
        <v>0</v>
      </c>
      <c r="G124" s="3">
        <v>0</v>
      </c>
      <c r="H124" s="3">
        <v>4.7039999999999998E-2</v>
      </c>
      <c r="I124" s="3">
        <v>0</v>
      </c>
      <c r="J124" s="3">
        <v>0.78400000000000003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7">
        <v>0.23200000000000001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18.807876799999999</v>
      </c>
      <c r="Z124" s="3">
        <v>15.088800000000001</v>
      </c>
      <c r="AA124" s="3">
        <v>1.3654576</v>
      </c>
      <c r="AB124" s="3">
        <v>1.9292</v>
      </c>
      <c r="AC124" s="3">
        <v>23.7524336</v>
      </c>
      <c r="AD124" s="3">
        <v>10.85432</v>
      </c>
      <c r="AE124" s="3">
        <v>2.4604046400000001</v>
      </c>
      <c r="AF124" s="3">
        <v>2.6630400000000001</v>
      </c>
      <c r="AG124" s="3">
        <v>5.9553279999999997</v>
      </c>
      <c r="AH124" s="3">
        <v>6.9230400000000003</v>
      </c>
      <c r="AI124" s="3">
        <v>156.97322879999999</v>
      </c>
      <c r="AJ124" s="3">
        <v>66.788160000000005</v>
      </c>
      <c r="AK124" s="3">
        <f t="shared" si="6"/>
        <v>3.1683423999999998</v>
      </c>
      <c r="AL124" s="3">
        <f t="shared" si="7"/>
        <v>1.82504</v>
      </c>
      <c r="AM124" s="3">
        <f t="shared" si="8"/>
        <v>33.948975679999997</v>
      </c>
      <c r="AN124" s="3">
        <f t="shared" si="9"/>
        <v>13.886880000000001</v>
      </c>
      <c r="AO124" s="3">
        <f t="shared" si="10"/>
        <v>1.3906976</v>
      </c>
      <c r="AP124" s="3">
        <f t="shared" si="11"/>
        <v>0.63600000000000001</v>
      </c>
      <c r="AQ124" s="3">
        <v>140</v>
      </c>
      <c r="AR124" s="3">
        <v>1.52</v>
      </c>
    </row>
    <row r="125" spans="1:44" ht="15.75" thickBot="1">
      <c r="A125" s="3">
        <v>0.41454000000000002</v>
      </c>
      <c r="B125" s="3">
        <v>0.41454000000000002</v>
      </c>
      <c r="C125" s="3">
        <v>0.1</v>
      </c>
      <c r="D125" s="3">
        <v>0</v>
      </c>
      <c r="E125" s="3">
        <v>0</v>
      </c>
      <c r="F125" s="3">
        <v>0</v>
      </c>
      <c r="G125" s="3">
        <v>0</v>
      </c>
      <c r="H125" s="3">
        <v>5.2920000000000002E-2</v>
      </c>
      <c r="I125" s="3">
        <v>1.7999999999999999E-2</v>
      </c>
      <c r="J125" s="3">
        <v>0.9</v>
      </c>
      <c r="K125" s="3">
        <v>0</v>
      </c>
      <c r="L125" s="3">
        <v>0</v>
      </c>
      <c r="M125" s="3">
        <v>0.04</v>
      </c>
      <c r="N125" s="3">
        <v>0</v>
      </c>
      <c r="O125" s="3">
        <v>0</v>
      </c>
      <c r="P125" s="3">
        <v>0.06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20.028879400000001</v>
      </c>
      <c r="Z125" s="3">
        <v>14.606</v>
      </c>
      <c r="AA125" s="3">
        <v>1.4175097999999999</v>
      </c>
      <c r="AB125" s="3">
        <v>1.8734</v>
      </c>
      <c r="AC125" s="3">
        <v>25.7080558</v>
      </c>
      <c r="AD125" s="3">
        <v>10.659800000000001</v>
      </c>
      <c r="AE125" s="3">
        <v>2.5308412200000001</v>
      </c>
      <c r="AF125" s="3">
        <v>2.5992000000000002</v>
      </c>
      <c r="AG125" s="3">
        <v>5.9585600000000003</v>
      </c>
      <c r="AH125" s="3">
        <v>6.8545999999999996</v>
      </c>
      <c r="AI125" s="3">
        <v>165.8175664</v>
      </c>
      <c r="AJ125" s="3">
        <v>70.036280000000005</v>
      </c>
      <c r="AK125" s="3">
        <f t="shared" si="6"/>
        <v>3.1597911999999999</v>
      </c>
      <c r="AL125" s="3">
        <f t="shared" si="7"/>
        <v>1.802</v>
      </c>
      <c r="AM125" s="3">
        <f t="shared" si="8"/>
        <v>30.416036439999999</v>
      </c>
      <c r="AN125" s="3">
        <f t="shared" si="9"/>
        <v>13.699800000000002</v>
      </c>
      <c r="AO125" s="3">
        <f t="shared" si="10"/>
        <v>1.4095208000000001</v>
      </c>
      <c r="AP125" s="3">
        <f t="shared" si="11"/>
        <v>0.61699999999999999</v>
      </c>
      <c r="AQ125" s="3">
        <v>100</v>
      </c>
      <c r="AR125" s="3">
        <v>2.1</v>
      </c>
    </row>
    <row r="126" spans="1:44" ht="15.75" thickBot="1">
      <c r="A126" s="3">
        <v>0.42749999999999999</v>
      </c>
      <c r="B126" s="3">
        <v>0.42749999999999999</v>
      </c>
      <c r="C126" s="3">
        <v>0</v>
      </c>
      <c r="D126" s="3">
        <v>1.4250000000000001E-2</v>
      </c>
      <c r="E126" s="3">
        <v>0</v>
      </c>
      <c r="F126" s="3">
        <v>0</v>
      </c>
      <c r="G126" s="3">
        <v>0</v>
      </c>
      <c r="H126" s="3">
        <v>0.13075000000000001</v>
      </c>
      <c r="I126" s="3">
        <v>0</v>
      </c>
      <c r="J126" s="3">
        <v>0.9405</v>
      </c>
      <c r="K126" s="3">
        <v>9.4999999999999998E-3</v>
      </c>
      <c r="L126" s="3">
        <v>0.05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18.9862</v>
      </c>
      <c r="Z126" s="3">
        <v>14.29335</v>
      </c>
      <c r="AA126" s="3">
        <v>1.4532075</v>
      </c>
      <c r="AB126" s="3">
        <v>1.85948</v>
      </c>
      <c r="AC126" s="3">
        <v>24.638745</v>
      </c>
      <c r="AD126" s="3">
        <v>10.916648</v>
      </c>
      <c r="AE126" s="3">
        <v>2.474154</v>
      </c>
      <c r="AF126" s="3">
        <v>2.5473275000000002</v>
      </c>
      <c r="AG126" s="3">
        <v>6.0778249999999998</v>
      </c>
      <c r="AH126" s="3">
        <v>6.8536000000000001</v>
      </c>
      <c r="AI126" s="3">
        <v>169.70877999999999</v>
      </c>
      <c r="AJ126" s="3">
        <v>71.363</v>
      </c>
      <c r="AK126" s="3">
        <f t="shared" si="6"/>
        <v>3.0329375000000001</v>
      </c>
      <c r="AL126" s="3">
        <f t="shared" si="7"/>
        <v>1.835925</v>
      </c>
      <c r="AM126" s="3">
        <f t="shared" si="8"/>
        <v>28.830662500000003</v>
      </c>
      <c r="AN126" s="3">
        <f t="shared" si="9"/>
        <v>13.618535</v>
      </c>
      <c r="AO126" s="3">
        <f t="shared" si="10"/>
        <v>1.4009525</v>
      </c>
      <c r="AP126" s="3">
        <f t="shared" si="11"/>
        <v>0.61504499999999995</v>
      </c>
      <c r="AQ126" s="3">
        <v>200</v>
      </c>
      <c r="AR126" s="3">
        <v>4.97</v>
      </c>
    </row>
    <row r="127" spans="1:44" ht="15.75" thickBot="1">
      <c r="A127" s="3">
        <v>0.44180000000000003</v>
      </c>
      <c r="B127" s="3">
        <v>0.39479999999999998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0.06</v>
      </c>
      <c r="I127" s="3">
        <v>0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2.8199999999999999E-2</v>
      </c>
      <c r="Y127" s="3">
        <v>15.982108</v>
      </c>
      <c r="Z127" s="3">
        <v>14.6</v>
      </c>
      <c r="AA127" s="3">
        <v>1.395464</v>
      </c>
      <c r="AB127" s="3">
        <v>1.86</v>
      </c>
      <c r="AC127" s="3">
        <v>21.656137999999999</v>
      </c>
      <c r="AD127" s="3">
        <v>10.64</v>
      </c>
      <c r="AE127" s="3">
        <v>2.2493626</v>
      </c>
      <c r="AF127" s="3">
        <v>2.58</v>
      </c>
      <c r="AG127" s="3">
        <v>5.7172239999999999</v>
      </c>
      <c r="AH127" s="3">
        <v>6.83</v>
      </c>
      <c r="AI127" s="3">
        <v>161.86402000000001</v>
      </c>
      <c r="AJ127" s="3">
        <v>68.120599999999996</v>
      </c>
      <c r="AK127" s="3">
        <f t="shared" si="6"/>
        <v>2.7333600000000002</v>
      </c>
      <c r="AL127" s="3">
        <f t="shared" si="7"/>
        <v>1.81</v>
      </c>
      <c r="AM127" s="3">
        <f t="shared" si="8"/>
        <v>26.9587468</v>
      </c>
      <c r="AN127" s="3">
        <f t="shared" si="9"/>
        <v>13.57</v>
      </c>
      <c r="AO127" s="3">
        <f t="shared" si="10"/>
        <v>1.2688740000000001</v>
      </c>
      <c r="AP127" s="3">
        <f t="shared" si="11"/>
        <v>0.61</v>
      </c>
      <c r="AQ127" s="3">
        <v>290</v>
      </c>
      <c r="AR127" s="3">
        <v>4.62</v>
      </c>
    </row>
    <row r="128" spans="1:44" ht="15.75" thickBot="1">
      <c r="A128" s="3">
        <v>0.374</v>
      </c>
      <c r="B128" s="3">
        <v>0.31</v>
      </c>
      <c r="C128" s="3">
        <v>0</v>
      </c>
      <c r="D128" s="3">
        <v>0</v>
      </c>
      <c r="E128" s="3">
        <v>0.224</v>
      </c>
      <c r="F128" s="3">
        <v>0</v>
      </c>
      <c r="G128" s="3">
        <v>0</v>
      </c>
      <c r="H128" s="3">
        <v>0.06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18.806100000000001</v>
      </c>
      <c r="Z128" s="3">
        <v>14.6</v>
      </c>
      <c r="AA128" s="3">
        <v>1.39418</v>
      </c>
      <c r="AB128" s="3">
        <v>1.86</v>
      </c>
      <c r="AC128" s="3">
        <v>25.233899999999998</v>
      </c>
      <c r="AD128" s="3">
        <v>10.64</v>
      </c>
      <c r="AE128" s="3">
        <v>2.4915379999999998</v>
      </c>
      <c r="AF128" s="3">
        <v>2.58</v>
      </c>
      <c r="AG128" s="3">
        <v>5.9032799999999996</v>
      </c>
      <c r="AH128" s="3">
        <v>6.83</v>
      </c>
      <c r="AI128" s="3">
        <v>161.19592</v>
      </c>
      <c r="AJ128" s="3">
        <v>68.323999999999998</v>
      </c>
      <c r="AK128" s="3">
        <f t="shared" si="6"/>
        <v>2.8528799999999999</v>
      </c>
      <c r="AL128" s="3">
        <f t="shared" si="7"/>
        <v>1.81</v>
      </c>
      <c r="AM128" s="3">
        <f t="shared" si="8"/>
        <v>23.975180000000002</v>
      </c>
      <c r="AN128" s="3">
        <f t="shared" si="9"/>
        <v>13.57</v>
      </c>
      <c r="AO128" s="3">
        <f t="shared" si="10"/>
        <v>1.3549599999999999</v>
      </c>
      <c r="AP128" s="3">
        <f t="shared" si="11"/>
        <v>0.61</v>
      </c>
      <c r="AQ128" s="3">
        <v>60</v>
      </c>
      <c r="AR128" s="3">
        <v>0.47</v>
      </c>
    </row>
    <row r="129" spans="1:44" ht="15.75" thickBot="1">
      <c r="A129" s="3">
        <v>0.25</v>
      </c>
      <c r="B129" s="3">
        <v>0.25</v>
      </c>
      <c r="C129" s="3">
        <v>0</v>
      </c>
      <c r="D129" s="3">
        <v>0</v>
      </c>
      <c r="E129" s="3">
        <v>0.35</v>
      </c>
      <c r="F129" s="3">
        <v>0</v>
      </c>
      <c r="G129" s="3">
        <v>0</v>
      </c>
      <c r="H129" s="3">
        <v>0</v>
      </c>
      <c r="I129" s="3">
        <v>0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0.1</v>
      </c>
      <c r="Y129" s="3">
        <v>20.4175</v>
      </c>
      <c r="Z129" s="3">
        <v>14.6</v>
      </c>
      <c r="AA129" s="3">
        <v>1.2729999999999999</v>
      </c>
      <c r="AB129" s="3">
        <v>1.86</v>
      </c>
      <c r="AC129" s="3">
        <v>25.1495</v>
      </c>
      <c r="AD129" s="3">
        <v>10.64</v>
      </c>
      <c r="AE129" s="3">
        <v>2.6992500000000001</v>
      </c>
      <c r="AF129" s="3">
        <v>2.58</v>
      </c>
      <c r="AG129" s="3">
        <v>5.6604999999999999</v>
      </c>
      <c r="AH129" s="3">
        <v>6.83</v>
      </c>
      <c r="AI129" s="3">
        <v>151.74100000000001</v>
      </c>
      <c r="AJ129" s="3">
        <v>65</v>
      </c>
      <c r="AK129" s="3">
        <f t="shared" si="6"/>
        <v>2.7500000000000004</v>
      </c>
      <c r="AL129" s="3">
        <f t="shared" si="7"/>
        <v>1.81</v>
      </c>
      <c r="AM129" s="3">
        <f t="shared" si="8"/>
        <v>20.963999999999999</v>
      </c>
      <c r="AN129" s="3">
        <f t="shared" si="9"/>
        <v>13.57</v>
      </c>
      <c r="AO129" s="3">
        <f t="shared" si="10"/>
        <v>1.2850000000000001</v>
      </c>
      <c r="AP129" s="3">
        <f t="shared" si="11"/>
        <v>0.61</v>
      </c>
      <c r="AQ129" s="3">
        <v>260</v>
      </c>
      <c r="AR129" s="3">
        <v>3.81</v>
      </c>
    </row>
    <row r="130" spans="1:44" ht="15.75" thickBot="1">
      <c r="A130" s="3">
        <v>0.25</v>
      </c>
      <c r="B130" s="3">
        <v>0.25</v>
      </c>
      <c r="C130" s="3">
        <v>0</v>
      </c>
      <c r="D130" s="3">
        <v>0</v>
      </c>
      <c r="E130" s="3">
        <v>0.42499999999999999</v>
      </c>
      <c r="F130" s="3">
        <v>0</v>
      </c>
      <c r="G130" s="3">
        <v>0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0.05</v>
      </c>
      <c r="Y130" s="3">
        <v>21.047499999999999</v>
      </c>
      <c r="Z130" s="3">
        <v>14.6</v>
      </c>
      <c r="AA130" s="3">
        <v>1.29775</v>
      </c>
      <c r="AB130" s="3">
        <v>1.86</v>
      </c>
      <c r="AC130" s="3">
        <v>26.696000000000002</v>
      </c>
      <c r="AD130" s="3">
        <v>10.64</v>
      </c>
      <c r="AE130" s="3">
        <v>2.7330000000000001</v>
      </c>
      <c r="AF130" s="3">
        <v>2.58</v>
      </c>
      <c r="AG130" s="3">
        <v>5.80525</v>
      </c>
      <c r="AH130" s="3">
        <v>6.83</v>
      </c>
      <c r="AI130" s="3">
        <v>150.81549999999999</v>
      </c>
      <c r="AJ130" s="3">
        <v>64.75</v>
      </c>
      <c r="AK130" s="3">
        <f t="shared" si="6"/>
        <v>2.8524999999999996</v>
      </c>
      <c r="AL130" s="3">
        <f t="shared" si="7"/>
        <v>1.81</v>
      </c>
      <c r="AM130" s="3">
        <f t="shared" si="8"/>
        <v>21.237749999999998</v>
      </c>
      <c r="AN130" s="3">
        <f t="shared" si="9"/>
        <v>13.57</v>
      </c>
      <c r="AO130" s="3">
        <f t="shared" si="10"/>
        <v>1.3450000000000002</v>
      </c>
      <c r="AP130" s="3">
        <f t="shared" si="11"/>
        <v>0.61</v>
      </c>
      <c r="AQ130" s="3">
        <v>422</v>
      </c>
      <c r="AR130" s="3">
        <v>5.0199999999999996</v>
      </c>
    </row>
    <row r="131" spans="1:44" ht="15.75" thickBot="1">
      <c r="A131" s="3">
        <v>0.24249999999999999</v>
      </c>
      <c r="B131" s="3">
        <v>0.24249999999999999</v>
      </c>
      <c r="C131" s="3">
        <v>0</v>
      </c>
      <c r="D131" s="3">
        <v>0</v>
      </c>
      <c r="E131" s="3">
        <v>0.33950000000000002</v>
      </c>
      <c r="F131" s="3">
        <v>0</v>
      </c>
      <c r="G131" s="3">
        <v>0</v>
      </c>
      <c r="H131" s="3">
        <v>0</v>
      </c>
      <c r="I131" s="3">
        <v>0.03</v>
      </c>
      <c r="J131" s="3">
        <v>0.97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9.9900000000000006E-3</v>
      </c>
      <c r="Q131" s="3">
        <v>1.9980000000000001E-2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9.7000000000000003E-2</v>
      </c>
      <c r="Y131" s="3">
        <v>20.737974999999999</v>
      </c>
      <c r="Z131" s="3">
        <v>14.530631</v>
      </c>
      <c r="AA131" s="3">
        <v>1.2753099999999999</v>
      </c>
      <c r="AB131" s="3">
        <v>1.8506535</v>
      </c>
      <c r="AC131" s="3">
        <v>25.066714999999999</v>
      </c>
      <c r="AD131" s="3">
        <v>10.7087117</v>
      </c>
      <c r="AE131" s="3">
        <v>2.7106724999999998</v>
      </c>
      <c r="AF131" s="3">
        <v>2.5707317999999999</v>
      </c>
      <c r="AG131" s="3">
        <v>5.6577849999999996</v>
      </c>
      <c r="AH131" s="3">
        <v>6.8452795999999996</v>
      </c>
      <c r="AI131" s="3">
        <v>152.76296139999999</v>
      </c>
      <c r="AJ131" s="3">
        <v>65.409350000000003</v>
      </c>
      <c r="AK131" s="3">
        <f t="shared" ref="AK131:AK174" si="12">A131*2.25+B131*3.73+C131*4.6+D131*2.7+E131*2.92+F131*4.9+G131*2.29+H131*3.35+I131*2.42+S131*3.06+U131*2.9+X131*2.33</f>
        <v>2.7401</v>
      </c>
      <c r="AL131" s="3">
        <f t="shared" ref="AL131:AL174" si="13">J131*1.81+K131*1.96+L131*2.3+M131*1.7+N131*2.37+O131*2.01+P131*1.75+Q131*2.3+R131*1.88+T131*1.16+V131*2.21+W131*2.15</f>
        <v>1.8191365000000002</v>
      </c>
      <c r="AM131" s="3">
        <f t="shared" ref="AM131:AM174" si="14">A131*16.7+B131*47.286+C131*31.63+D131*11.87+E131*11.03+F131*27.29+G131*11.25+H131*10+I131*11.06+S131*75.64+U131*21.5+X131*11.07</f>
        <v>20.666879999999999</v>
      </c>
      <c r="AN131" s="3">
        <f t="shared" ref="AN131:AN174" si="15">J131*13.57+13.1*K131+L131*14.63+M131*16.17+N131*10.72+O131*18.83+P131*14+Q131*15.03+R131*15+T131*16.19+V131*12.8+W131*16.63</f>
        <v>13.603059400000001</v>
      </c>
      <c r="AO131" s="3">
        <f t="shared" ref="AO131:AO174" si="16">A131*1.35+B131*1.39+C131*1.64+D131*1.34+E131*1.44+F131*1.72+G131*0.95+H131*1.61+I131*1.36+S131*1.19+U131*1.43+X131*0.96</f>
        <v>1.28725</v>
      </c>
      <c r="AP131" s="3">
        <f t="shared" ref="AP131:AP174" si="17">J131*0.61+K131*0.72+L131*0.69+M131*0.68+N131*0.98+O131*0.54+P131*0.68+Q131*0.72+R131*0.71+T131*0.65+V131*0.75+W131*0.6</f>
        <v>0.61287880000000006</v>
      </c>
      <c r="AQ131" s="3">
        <v>390</v>
      </c>
      <c r="AR131" s="3">
        <v>5.94</v>
      </c>
    </row>
    <row r="132" spans="1:44" ht="15.75" thickBot="1">
      <c r="A132" s="3">
        <v>0.40589999999999998</v>
      </c>
      <c r="B132" s="3">
        <v>0.35649999999999998</v>
      </c>
      <c r="C132" s="3">
        <v>0</v>
      </c>
      <c r="D132" s="3">
        <v>0</v>
      </c>
      <c r="E132" s="3">
        <v>0.2079</v>
      </c>
      <c r="F132" s="3">
        <v>0</v>
      </c>
      <c r="G132" s="3">
        <v>0</v>
      </c>
      <c r="H132" s="3">
        <v>0</v>
      </c>
      <c r="I132" s="3">
        <v>0</v>
      </c>
      <c r="J132" s="3">
        <v>0.99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0.01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17.336915000000001</v>
      </c>
      <c r="Z132" s="3">
        <v>14.611000000000001</v>
      </c>
      <c r="AA132" s="3">
        <v>1.420838</v>
      </c>
      <c r="AB132" s="3">
        <v>1.8616999999999999</v>
      </c>
      <c r="AC132" s="3">
        <v>24.183425</v>
      </c>
      <c r="AD132" s="3">
        <v>10.6419</v>
      </c>
      <c r="AE132" s="3">
        <v>2.4226662999999999</v>
      </c>
      <c r="AF132" s="3">
        <v>2.5817999999999999</v>
      </c>
      <c r="AG132" s="3">
        <v>5.970313</v>
      </c>
      <c r="AH132" s="3">
        <v>6.8292999999999999</v>
      </c>
      <c r="AI132" s="3">
        <v>159.69126199999999</v>
      </c>
      <c r="AJ132" s="3">
        <v>67.701400000000007</v>
      </c>
      <c r="AK132" s="3">
        <f t="shared" si="12"/>
        <v>2.850088</v>
      </c>
      <c r="AL132" s="3">
        <f t="shared" si="13"/>
        <v>1.8094000000000001</v>
      </c>
      <c r="AM132" s="3">
        <f t="shared" si="14"/>
        <v>25.929125999999997</v>
      </c>
      <c r="AN132" s="3">
        <f t="shared" si="15"/>
        <v>13.574300000000001</v>
      </c>
      <c r="AO132" s="3">
        <f t="shared" si="16"/>
        <v>1.342876</v>
      </c>
      <c r="AP132" s="3">
        <f t="shared" si="17"/>
        <v>0.61070000000000002</v>
      </c>
      <c r="AQ132" s="3">
        <v>85</v>
      </c>
      <c r="AR132" s="3">
        <v>1.03</v>
      </c>
    </row>
    <row r="133" spans="1:44" ht="15.75" thickBot="1">
      <c r="A133" s="3">
        <v>0.40749999999999997</v>
      </c>
      <c r="B133" s="3">
        <v>0.34749999999999998</v>
      </c>
      <c r="C133" s="3">
        <v>0</v>
      </c>
      <c r="D133" s="3">
        <v>0</v>
      </c>
      <c r="E133" s="3">
        <v>0.21</v>
      </c>
      <c r="F133" s="3">
        <v>0</v>
      </c>
      <c r="G133" s="3">
        <v>0</v>
      </c>
      <c r="H133" s="3">
        <v>0</v>
      </c>
      <c r="I133" s="3">
        <v>5.0000000000000001E-3</v>
      </c>
      <c r="J133" s="3">
        <v>0.99750000000000005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2.5000000000000001E-3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17.345224999999999</v>
      </c>
      <c r="Z133" s="3">
        <v>14.59</v>
      </c>
      <c r="AA133" s="3">
        <v>1.4253750000000001</v>
      </c>
      <c r="AB133" s="3">
        <v>1.858625</v>
      </c>
      <c r="AC133" s="3">
        <v>24.186724999999999</v>
      </c>
      <c r="AD133" s="3">
        <v>10.648400000000001</v>
      </c>
      <c r="AE133" s="3">
        <v>2.4241524999999999</v>
      </c>
      <c r="AF133" s="3">
        <v>2.5786250000000002</v>
      </c>
      <c r="AG133" s="3">
        <v>5.9755000000000003</v>
      </c>
      <c r="AH133" s="3">
        <v>6.8320249999999998</v>
      </c>
      <c r="AI133" s="3">
        <v>160.18847500000001</v>
      </c>
      <c r="AJ133" s="3">
        <v>67.885000000000005</v>
      </c>
      <c r="AK133" s="3">
        <f t="shared" si="12"/>
        <v>2.8383500000000002</v>
      </c>
      <c r="AL133" s="3">
        <f t="shared" si="13"/>
        <v>1.8112250000000001</v>
      </c>
      <c r="AM133" s="3">
        <f t="shared" si="14"/>
        <v>25.608734999999992</v>
      </c>
      <c r="AN133" s="3">
        <f t="shared" si="15"/>
        <v>13.573650000000001</v>
      </c>
      <c r="AO133" s="3">
        <f t="shared" si="16"/>
        <v>1.3423499999999999</v>
      </c>
      <c r="AP133" s="3">
        <f t="shared" si="17"/>
        <v>0.61027500000000001</v>
      </c>
      <c r="AQ133" s="3">
        <v>100</v>
      </c>
      <c r="AR133" s="3">
        <v>1.32</v>
      </c>
    </row>
    <row r="134" spans="1:44" ht="24.75" thickBot="1">
      <c r="A134" s="9">
        <v>0.3397</v>
      </c>
      <c r="B134" s="3">
        <v>0.27950000000000003</v>
      </c>
      <c r="C134" s="3">
        <v>0</v>
      </c>
      <c r="D134" s="3">
        <v>0</v>
      </c>
      <c r="E134" s="3">
        <v>0.2107</v>
      </c>
      <c r="F134" s="3">
        <v>0</v>
      </c>
      <c r="G134" s="3">
        <v>0</v>
      </c>
      <c r="H134" s="3">
        <v>0.14000000000000001</v>
      </c>
      <c r="I134" s="3">
        <v>0</v>
      </c>
      <c r="J134" s="3">
        <v>0.95799999999999996</v>
      </c>
      <c r="K134" s="3">
        <v>4.2000000000000003E-2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20.625845000000002</v>
      </c>
      <c r="Z134" s="3">
        <v>14.7386</v>
      </c>
      <c r="AA134" s="3">
        <v>1.3650040000000001</v>
      </c>
      <c r="AB134" s="3">
        <v>1.85328</v>
      </c>
      <c r="AC134" s="3">
        <v>26.379075</v>
      </c>
      <c r="AD134" s="3">
        <v>10.614127999999999</v>
      </c>
      <c r="AE134" s="3">
        <v>2.5716828999999999</v>
      </c>
      <c r="AF134" s="3">
        <v>2.59029</v>
      </c>
      <c r="AG134" s="3">
        <v>5.8379289999999999</v>
      </c>
      <c r="AH134" s="3">
        <v>6.8216000000000001</v>
      </c>
      <c r="AI134" s="3">
        <v>164.95184599999999</v>
      </c>
      <c r="AJ134" s="3">
        <v>69.872200000000007</v>
      </c>
      <c r="AK134" s="3">
        <f t="shared" si="12"/>
        <v>2.8911040000000003</v>
      </c>
      <c r="AL134" s="3">
        <f t="shared" si="13"/>
        <v>1.8163</v>
      </c>
      <c r="AM134" s="3">
        <f t="shared" si="14"/>
        <v>22.613447999999998</v>
      </c>
      <c r="AN134" s="3">
        <f t="shared" si="15"/>
        <v>13.55026</v>
      </c>
      <c r="AO134" s="3">
        <f t="shared" si="16"/>
        <v>1.3759079999999999</v>
      </c>
      <c r="AP134" s="3">
        <f t="shared" si="17"/>
        <v>0.61462000000000006</v>
      </c>
      <c r="AQ134" s="9">
        <v>80</v>
      </c>
      <c r="AR134" s="3">
        <v>1</v>
      </c>
    </row>
    <row r="135" spans="1:44" ht="15.75" thickBot="1">
      <c r="A135" s="3">
        <v>0.45</v>
      </c>
      <c r="B135" s="3">
        <v>0.31</v>
      </c>
      <c r="C135" s="3">
        <v>0</v>
      </c>
      <c r="D135" s="3">
        <v>0</v>
      </c>
      <c r="E135" s="3">
        <v>0.21</v>
      </c>
      <c r="F135" s="3">
        <v>0</v>
      </c>
      <c r="G135" s="3">
        <v>0</v>
      </c>
      <c r="H135" s="3">
        <v>0</v>
      </c>
      <c r="I135" s="3">
        <v>0</v>
      </c>
      <c r="J135" s="3">
        <v>0.92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2.664E-2</v>
      </c>
      <c r="Q135" s="3">
        <v>5.3328E-2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16.600100000000001</v>
      </c>
      <c r="Z135" s="3">
        <v>14.4155248</v>
      </c>
      <c r="AA135" s="3">
        <v>1.4762</v>
      </c>
      <c r="AB135" s="3">
        <v>1.8351388799999999</v>
      </c>
      <c r="AC135" s="3">
        <v>24.088699999999999</v>
      </c>
      <c r="AD135" s="3">
        <v>10.8239032</v>
      </c>
      <c r="AE135" s="3">
        <v>2.39425</v>
      </c>
      <c r="AF135" s="3">
        <v>2.5553822400000001</v>
      </c>
      <c r="AG135" s="3">
        <v>6.0643000000000002</v>
      </c>
      <c r="AH135" s="3">
        <v>6.8711123199999999</v>
      </c>
      <c r="AI135" s="3">
        <v>167.49146139999999</v>
      </c>
      <c r="AJ135" s="3">
        <v>70.712175999999999</v>
      </c>
      <c r="AK135" s="3">
        <f t="shared" si="12"/>
        <v>2.782</v>
      </c>
      <c r="AL135" s="3">
        <f t="shared" si="13"/>
        <v>1.8344744000000002</v>
      </c>
      <c r="AM135" s="3">
        <f t="shared" si="14"/>
        <v>24.48996</v>
      </c>
      <c r="AN135" s="3">
        <f t="shared" si="15"/>
        <v>13.658879840000001</v>
      </c>
      <c r="AO135" s="3">
        <f t="shared" si="16"/>
        <v>1.3408</v>
      </c>
      <c r="AP135" s="3">
        <f t="shared" si="17"/>
        <v>0.61771136000000004</v>
      </c>
      <c r="AQ135" s="3">
        <v>470</v>
      </c>
      <c r="AR135" s="3">
        <v>7.5</v>
      </c>
    </row>
    <row r="136" spans="1:44" ht="15.75" thickBot="1">
      <c r="A136" s="3">
        <v>0.30549999999999999</v>
      </c>
      <c r="B136" s="3">
        <v>0.36549999999999999</v>
      </c>
      <c r="C136" s="3">
        <v>0</v>
      </c>
      <c r="D136" s="3">
        <v>0</v>
      </c>
      <c r="E136" s="3">
        <v>0.2303</v>
      </c>
      <c r="F136" s="3">
        <v>0</v>
      </c>
      <c r="G136" s="3">
        <v>0</v>
      </c>
      <c r="H136" s="3">
        <v>9.8699999999999996E-2</v>
      </c>
      <c r="I136" s="3">
        <v>0</v>
      </c>
      <c r="J136" s="3">
        <v>0.94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0.06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21.347574999999999</v>
      </c>
      <c r="Z136" s="3">
        <v>14.666</v>
      </c>
      <c r="AA136" s="3">
        <v>1.3459000000000001</v>
      </c>
      <c r="AB136" s="3">
        <v>1.8702000000000001</v>
      </c>
      <c r="AC136" s="3">
        <v>26.784569000000001</v>
      </c>
      <c r="AD136" s="3">
        <v>10.651400000000001</v>
      </c>
      <c r="AE136" s="3">
        <v>2.6536989000000002</v>
      </c>
      <c r="AF136" s="3">
        <v>2.5908000000000002</v>
      </c>
      <c r="AG136" s="3">
        <v>5.9273439999999997</v>
      </c>
      <c r="AH136" s="3">
        <v>6.8258000000000001</v>
      </c>
      <c r="AI136" s="3">
        <v>156.74368000000001</v>
      </c>
      <c r="AJ136" s="3">
        <v>66.795599999999993</v>
      </c>
      <c r="AK136" s="3">
        <f t="shared" si="12"/>
        <v>3.0538110000000001</v>
      </c>
      <c r="AL136" s="3">
        <f t="shared" si="13"/>
        <v>1.8064</v>
      </c>
      <c r="AM136" s="3">
        <f t="shared" si="14"/>
        <v>25.912091999999998</v>
      </c>
      <c r="AN136" s="3">
        <f t="shared" si="15"/>
        <v>13.595799999999999</v>
      </c>
      <c r="AO136" s="3">
        <f t="shared" si="16"/>
        <v>1.411009</v>
      </c>
      <c r="AP136" s="3">
        <f t="shared" si="17"/>
        <v>0.61419999999999986</v>
      </c>
      <c r="AQ136" s="3">
        <v>116</v>
      </c>
      <c r="AR136" s="3">
        <v>1.25</v>
      </c>
    </row>
    <row r="137" spans="1:44" ht="15.75" thickBot="1">
      <c r="A137" s="3">
        <v>0.36</v>
      </c>
      <c r="B137" s="3">
        <v>0.46</v>
      </c>
      <c r="C137" s="3">
        <v>0</v>
      </c>
      <c r="D137" s="3">
        <v>0</v>
      </c>
      <c r="E137" s="3">
        <v>0.126</v>
      </c>
      <c r="F137" s="3">
        <v>0</v>
      </c>
      <c r="G137" s="3">
        <v>0</v>
      </c>
      <c r="H137" s="3">
        <v>5.3999999999999999E-2</v>
      </c>
      <c r="I137" s="3">
        <v>0</v>
      </c>
      <c r="J137" s="3">
        <v>0.9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0.1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19.376000000000001</v>
      </c>
      <c r="Z137" s="3">
        <v>14.71</v>
      </c>
      <c r="AA137" s="3">
        <v>1.3805000000000001</v>
      </c>
      <c r="AB137" s="3">
        <v>1.877</v>
      </c>
      <c r="AC137" s="3">
        <v>24.947479999999999</v>
      </c>
      <c r="AD137" s="3">
        <v>10.659000000000001</v>
      </c>
      <c r="AE137" s="3">
        <v>2.5260880000000001</v>
      </c>
      <c r="AF137" s="3">
        <v>2.5979999999999999</v>
      </c>
      <c r="AG137" s="3">
        <v>5.9834800000000001</v>
      </c>
      <c r="AH137" s="3">
        <v>6.8230000000000004</v>
      </c>
      <c r="AI137" s="3">
        <v>156.7706</v>
      </c>
      <c r="AJ137" s="3">
        <v>66.652000000000001</v>
      </c>
      <c r="AK137" s="3">
        <f t="shared" si="12"/>
        <v>3.0746199999999995</v>
      </c>
      <c r="AL137" s="3">
        <f t="shared" si="13"/>
        <v>1.804</v>
      </c>
      <c r="AM137" s="3">
        <f t="shared" si="14"/>
        <v>29.693339999999999</v>
      </c>
      <c r="AN137" s="3">
        <f t="shared" si="15"/>
        <v>13.613000000000001</v>
      </c>
      <c r="AO137" s="3">
        <f t="shared" si="16"/>
        <v>1.39378</v>
      </c>
      <c r="AP137" s="3">
        <f t="shared" si="17"/>
        <v>0.61699999999999999</v>
      </c>
      <c r="AQ137" s="3">
        <v>180</v>
      </c>
      <c r="AR137" s="3">
        <v>2.2599999999999998</v>
      </c>
    </row>
    <row r="138" spans="1:44" ht="15.75" thickBot="1">
      <c r="A138" s="3">
        <v>0.52</v>
      </c>
      <c r="B138" s="3">
        <v>0.36</v>
      </c>
      <c r="C138" s="3">
        <v>0.12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0.96</v>
      </c>
      <c r="K138" s="3">
        <v>0</v>
      </c>
      <c r="L138" s="3">
        <v>0</v>
      </c>
      <c r="M138" s="3">
        <v>0</v>
      </c>
      <c r="N138" s="3">
        <v>0</v>
      </c>
      <c r="O138" s="3">
        <v>0.04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17.694800000000001</v>
      </c>
      <c r="Z138" s="3">
        <v>14.288</v>
      </c>
      <c r="AA138" s="3">
        <v>1.5291999999999999</v>
      </c>
      <c r="AB138" s="3">
        <v>1.8512</v>
      </c>
      <c r="AC138" s="3">
        <v>25.154800000000002</v>
      </c>
      <c r="AD138" s="3">
        <v>10.6144</v>
      </c>
      <c r="AE138" s="3">
        <v>2.4352399999999998</v>
      </c>
      <c r="AF138" s="3">
        <v>2.5438000000000001</v>
      </c>
      <c r="AG138" s="3">
        <v>6.1567999999999996</v>
      </c>
      <c r="AH138" s="3">
        <v>6.7960000000000003</v>
      </c>
      <c r="AI138" s="3">
        <v>168.72880000000001</v>
      </c>
      <c r="AJ138" s="3">
        <v>71.040000000000006</v>
      </c>
      <c r="AK138" s="3">
        <f t="shared" si="12"/>
        <v>3.0648</v>
      </c>
      <c r="AL138" s="3">
        <f t="shared" si="13"/>
        <v>1.8180000000000001</v>
      </c>
      <c r="AM138" s="3">
        <f t="shared" si="14"/>
        <v>29.502560000000003</v>
      </c>
      <c r="AN138" s="3">
        <f t="shared" si="15"/>
        <v>13.7804</v>
      </c>
      <c r="AO138" s="3">
        <f t="shared" si="16"/>
        <v>1.3992</v>
      </c>
      <c r="AP138" s="3">
        <f t="shared" si="17"/>
        <v>0.60719999999999996</v>
      </c>
      <c r="AQ138" s="3">
        <v>105</v>
      </c>
      <c r="AR138" s="3">
        <v>1.1499999999999999</v>
      </c>
    </row>
    <row r="139" spans="1:44" ht="24.75" thickBot="1">
      <c r="A139" s="9">
        <v>0.48</v>
      </c>
      <c r="B139" s="3">
        <v>0.38400000000000001</v>
      </c>
      <c r="C139" s="3">
        <v>9.6000000000000002E-2</v>
      </c>
      <c r="D139" s="3">
        <v>0</v>
      </c>
      <c r="E139" s="3">
        <v>0</v>
      </c>
      <c r="F139" s="3">
        <v>0</v>
      </c>
      <c r="G139" s="3">
        <v>0</v>
      </c>
      <c r="H139" s="3">
        <v>0.04</v>
      </c>
      <c r="I139" s="3">
        <v>0</v>
      </c>
      <c r="J139" s="3">
        <v>0.96</v>
      </c>
      <c r="K139" s="3">
        <v>0.04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18.532</v>
      </c>
      <c r="Z139" s="3">
        <v>14.731999999999999</v>
      </c>
      <c r="AA139" s="3">
        <v>1.4889600000000001</v>
      </c>
      <c r="AB139" s="3">
        <v>1.8535999999999999</v>
      </c>
      <c r="AC139" s="3">
        <v>25.296959999999999</v>
      </c>
      <c r="AD139" s="3">
        <v>10.615360000000001</v>
      </c>
      <c r="AE139" s="3">
        <v>2.4664799999999998</v>
      </c>
      <c r="AF139" s="3">
        <v>2.5897999999999999</v>
      </c>
      <c r="AG139" s="3">
        <v>6.0932000000000004</v>
      </c>
      <c r="AH139" s="3">
        <v>6.8220000000000001</v>
      </c>
      <c r="AI139" s="3">
        <v>168.01888</v>
      </c>
      <c r="AJ139" s="3">
        <v>70.847999999999999</v>
      </c>
      <c r="AK139" s="3">
        <f t="shared" si="12"/>
        <v>3.08792</v>
      </c>
      <c r="AL139" s="3">
        <f t="shared" si="13"/>
        <v>1.8160000000000001</v>
      </c>
      <c r="AM139" s="3">
        <f t="shared" si="14"/>
        <v>29.610304000000003</v>
      </c>
      <c r="AN139" s="3">
        <f t="shared" si="15"/>
        <v>13.551200000000001</v>
      </c>
      <c r="AO139" s="3">
        <f t="shared" si="16"/>
        <v>1.4036000000000002</v>
      </c>
      <c r="AP139" s="3">
        <f t="shared" si="17"/>
        <v>0.61440000000000006</v>
      </c>
      <c r="AQ139" s="9">
        <v>70</v>
      </c>
      <c r="AR139" s="3">
        <v>0.73</v>
      </c>
    </row>
    <row r="140" spans="1:44" ht="24.75" thickBot="1">
      <c r="A140" s="9">
        <v>0.54</v>
      </c>
      <c r="B140" s="3">
        <v>0.38640000000000002</v>
      </c>
      <c r="C140" s="3">
        <v>7.3599999999999999E-2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0.96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0.04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16.48132</v>
      </c>
      <c r="Z140" s="3">
        <v>14.44</v>
      </c>
      <c r="AA140" s="3">
        <v>1.558376</v>
      </c>
      <c r="AB140" s="3">
        <v>1.8380000000000001</v>
      </c>
      <c r="AC140" s="3">
        <v>24.077176000000001</v>
      </c>
      <c r="AD140" s="3">
        <v>10.7744</v>
      </c>
      <c r="AE140" s="3">
        <v>2.3739240000000001</v>
      </c>
      <c r="AF140" s="3">
        <v>2.5579999999999998</v>
      </c>
      <c r="AG140" s="3">
        <v>6.23672</v>
      </c>
      <c r="AH140" s="3">
        <v>6.8624000000000001</v>
      </c>
      <c r="AI140" s="3">
        <v>171.58732800000001</v>
      </c>
      <c r="AJ140" s="3">
        <v>72.068799999999996</v>
      </c>
      <c r="AK140" s="3">
        <f t="shared" si="12"/>
        <v>2.9948320000000006</v>
      </c>
      <c r="AL140" s="3">
        <f t="shared" si="13"/>
        <v>1.8296000000000001</v>
      </c>
      <c r="AM140" s="3">
        <f t="shared" si="14"/>
        <v>29.6172784</v>
      </c>
      <c r="AN140" s="3">
        <f t="shared" si="15"/>
        <v>13.628400000000001</v>
      </c>
      <c r="AO140" s="3">
        <f t="shared" si="16"/>
        <v>1.3868</v>
      </c>
      <c r="AP140" s="3">
        <f t="shared" si="17"/>
        <v>0.61440000000000006</v>
      </c>
      <c r="AQ140" s="9">
        <v>320</v>
      </c>
      <c r="AR140" s="3">
        <v>2.42</v>
      </c>
    </row>
    <row r="141" spans="1:44" ht="15.75" thickBot="1">
      <c r="A141" s="3">
        <v>0.42499999999999999</v>
      </c>
      <c r="B141" s="3">
        <v>0.34849999999999998</v>
      </c>
      <c r="C141" s="3">
        <v>7.6499999999999999E-2</v>
      </c>
      <c r="D141" s="3">
        <v>0</v>
      </c>
      <c r="E141" s="3">
        <v>0.15</v>
      </c>
      <c r="F141" s="3">
        <v>0</v>
      </c>
      <c r="G141" s="3">
        <v>0</v>
      </c>
      <c r="H141" s="3">
        <v>0</v>
      </c>
      <c r="I141" s="3">
        <v>0</v>
      </c>
      <c r="J141" s="3">
        <v>0.85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0.1</v>
      </c>
      <c r="Q141" s="3">
        <v>0.05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18.981425000000002</v>
      </c>
      <c r="Z141" s="3">
        <v>14.51</v>
      </c>
      <c r="AA141" s="3">
        <v>1.4503649999999999</v>
      </c>
      <c r="AB141" s="3">
        <v>1.8494999999999999</v>
      </c>
      <c r="AC141" s="3">
        <v>25.949490000000001</v>
      </c>
      <c r="AD141" s="3">
        <v>10.827</v>
      </c>
      <c r="AE141" s="3">
        <v>2.536035</v>
      </c>
      <c r="AF141" s="3">
        <v>2.5705</v>
      </c>
      <c r="AG141" s="3">
        <v>6.0708000000000002</v>
      </c>
      <c r="AH141" s="3">
        <v>6.8635000000000002</v>
      </c>
      <c r="AI141" s="3">
        <v>164.23697000000001</v>
      </c>
      <c r="AJ141" s="3">
        <v>69.662000000000006</v>
      </c>
      <c r="AK141" s="3">
        <f t="shared" si="12"/>
        <v>3.046055</v>
      </c>
      <c r="AL141" s="3">
        <f t="shared" si="13"/>
        <v>1.8285</v>
      </c>
      <c r="AM141" s="3">
        <f t="shared" si="14"/>
        <v>27.650866000000001</v>
      </c>
      <c r="AN141" s="3">
        <f t="shared" si="15"/>
        <v>13.686</v>
      </c>
      <c r="AO141" s="3">
        <f t="shared" si="16"/>
        <v>1.3996249999999997</v>
      </c>
      <c r="AP141" s="3">
        <f t="shared" si="17"/>
        <v>0.62250000000000005</v>
      </c>
      <c r="AQ141" s="3">
        <v>300</v>
      </c>
      <c r="AR141" s="3">
        <v>3.5</v>
      </c>
    </row>
    <row r="142" spans="1:44" ht="24.75" thickBot="1">
      <c r="A142" s="9">
        <v>0.45500000000000002</v>
      </c>
      <c r="B142" s="3">
        <v>0.42720000000000002</v>
      </c>
      <c r="C142" s="3">
        <v>0.1178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0.91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0.09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18.739260000000002</v>
      </c>
      <c r="Z142" s="3">
        <v>14.699</v>
      </c>
      <c r="AA142" s="3">
        <v>1.448148</v>
      </c>
      <c r="AB142" s="3">
        <v>1.8753</v>
      </c>
      <c r="AC142" s="3">
        <v>25.266597999999998</v>
      </c>
      <c r="AD142" s="3">
        <v>10.6571</v>
      </c>
      <c r="AE142" s="3">
        <v>2.4753970000000001</v>
      </c>
      <c r="AF142" s="3">
        <v>2.5962000000000001</v>
      </c>
      <c r="AG142" s="3">
        <v>6.0194599999999996</v>
      </c>
      <c r="AH142" s="3">
        <v>6.8236999999999997</v>
      </c>
      <c r="AI142" s="3">
        <v>161.487944</v>
      </c>
      <c r="AJ142" s="3">
        <v>68.412400000000005</v>
      </c>
      <c r="AK142" s="3">
        <f t="shared" si="12"/>
        <v>3.1590859999999998</v>
      </c>
      <c r="AL142" s="3">
        <f t="shared" si="13"/>
        <v>1.8046</v>
      </c>
      <c r="AM142" s="3">
        <f t="shared" si="14"/>
        <v>31.525093200000001</v>
      </c>
      <c r="AN142" s="3">
        <f t="shared" si="15"/>
        <v>13.608700000000001</v>
      </c>
      <c r="AO142" s="3">
        <f t="shared" si="16"/>
        <v>1.4012500000000001</v>
      </c>
      <c r="AP142" s="3">
        <f t="shared" si="17"/>
        <v>0.61630000000000007</v>
      </c>
      <c r="AQ142" s="9">
        <v>70</v>
      </c>
      <c r="AR142" s="3">
        <v>1.51</v>
      </c>
    </row>
    <row r="143" spans="1:44" ht="15.75" thickBot="1">
      <c r="A143" s="3">
        <v>0.39500000000000002</v>
      </c>
      <c r="B143" s="3">
        <v>0.27300000000000002</v>
      </c>
      <c r="C143" s="3">
        <v>5.1999999999999998E-2</v>
      </c>
      <c r="D143" s="3">
        <v>0</v>
      </c>
      <c r="E143" s="3">
        <v>0.245</v>
      </c>
      <c r="F143" s="3">
        <v>0</v>
      </c>
      <c r="G143" s="3">
        <v>0</v>
      </c>
      <c r="H143" s="3">
        <v>0</v>
      </c>
      <c r="I143" s="3">
        <v>0</v>
      </c>
      <c r="J143" s="3">
        <v>1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18.506150000000002</v>
      </c>
      <c r="Z143" s="3">
        <v>14.6</v>
      </c>
      <c r="AA143" s="3">
        <v>1.40672</v>
      </c>
      <c r="AB143" s="3">
        <v>1.86</v>
      </c>
      <c r="AC143" s="3">
        <v>25.613569999999999</v>
      </c>
      <c r="AD143" s="3">
        <v>10.64</v>
      </c>
      <c r="AE143" s="3">
        <v>2.4905949999999999</v>
      </c>
      <c r="AF143" s="3">
        <v>2.58</v>
      </c>
      <c r="AG143" s="3">
        <v>5.8985500000000002</v>
      </c>
      <c r="AH143" s="3">
        <v>6.83</v>
      </c>
      <c r="AI143" s="3">
        <v>160.33206000000001</v>
      </c>
      <c r="AJ143" s="3">
        <v>68.085999999999999</v>
      </c>
      <c r="AK143" s="3">
        <f t="shared" si="12"/>
        <v>2.86164</v>
      </c>
      <c r="AL143" s="3">
        <f t="shared" si="13"/>
        <v>1.81</v>
      </c>
      <c r="AM143" s="3">
        <f t="shared" si="14"/>
        <v>23.852687999999997</v>
      </c>
      <c r="AN143" s="3">
        <f t="shared" si="15"/>
        <v>13.57</v>
      </c>
      <c r="AO143" s="3">
        <f t="shared" si="16"/>
        <v>1.3508</v>
      </c>
      <c r="AP143" s="3">
        <f t="shared" si="17"/>
        <v>0.61</v>
      </c>
      <c r="AQ143" s="3">
        <v>350</v>
      </c>
      <c r="AR143" s="3">
        <v>4.0599999999999996</v>
      </c>
    </row>
    <row r="144" spans="1:44" ht="15.75" thickBot="1">
      <c r="A144" s="3">
        <v>0.42</v>
      </c>
      <c r="B144" s="3">
        <v>0.42</v>
      </c>
      <c r="C144" s="3">
        <v>0.16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0.84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0.16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20.123799999999999</v>
      </c>
      <c r="Z144" s="3">
        <v>14.776</v>
      </c>
      <c r="AA144" s="3">
        <v>1.4006000000000001</v>
      </c>
      <c r="AB144" s="3">
        <v>1.8872</v>
      </c>
      <c r="AC144" s="3">
        <v>26.2882</v>
      </c>
      <c r="AD144" s="3">
        <v>10.670400000000001</v>
      </c>
      <c r="AE144" s="3">
        <v>2.5421399999999998</v>
      </c>
      <c r="AF144" s="3">
        <v>2.6088</v>
      </c>
      <c r="AG144" s="3">
        <v>5.9108000000000001</v>
      </c>
      <c r="AH144" s="3">
        <v>6.8188000000000004</v>
      </c>
      <c r="AI144" s="3">
        <v>158.7988</v>
      </c>
      <c r="AJ144" s="3">
        <v>67.56</v>
      </c>
      <c r="AK144" s="3">
        <f t="shared" si="12"/>
        <v>3.2476000000000003</v>
      </c>
      <c r="AL144" s="3">
        <f t="shared" si="13"/>
        <v>1.8004</v>
      </c>
      <c r="AM144" s="3">
        <f t="shared" si="14"/>
        <v>31.934919999999998</v>
      </c>
      <c r="AN144" s="3">
        <f t="shared" si="15"/>
        <v>13.6388</v>
      </c>
      <c r="AO144" s="3">
        <f t="shared" si="16"/>
        <v>1.4132</v>
      </c>
      <c r="AP144" s="3">
        <f t="shared" si="17"/>
        <v>0.62119999999999997</v>
      </c>
      <c r="AQ144" s="3">
        <v>320</v>
      </c>
      <c r="AR144" s="3">
        <v>5.2</v>
      </c>
    </row>
    <row r="145" spans="1:44" ht="15.75" thickBot="1">
      <c r="A145" s="3">
        <v>0.30599999999999999</v>
      </c>
      <c r="B145" s="3">
        <v>0.27625</v>
      </c>
      <c r="C145" s="3">
        <v>0.15</v>
      </c>
      <c r="D145" s="3">
        <v>0</v>
      </c>
      <c r="E145" s="3">
        <v>0.25287500000000002</v>
      </c>
      <c r="F145" s="3">
        <v>0</v>
      </c>
      <c r="G145" s="3">
        <v>0</v>
      </c>
      <c r="H145" s="3">
        <v>0</v>
      </c>
      <c r="I145" s="3">
        <v>0</v>
      </c>
      <c r="J145" s="3">
        <v>0.85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0.15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22.363137500000001</v>
      </c>
      <c r="Z145" s="3">
        <v>14.765000000000001</v>
      </c>
      <c r="AA145" s="3">
        <v>1.3064512500000001</v>
      </c>
      <c r="AB145" s="3">
        <v>1.8855</v>
      </c>
      <c r="AC145" s="3">
        <v>28.5636625</v>
      </c>
      <c r="AD145" s="3">
        <v>10.6685</v>
      </c>
      <c r="AE145" s="3">
        <v>2.7083732500000002</v>
      </c>
      <c r="AF145" s="3">
        <v>2.6070000000000002</v>
      </c>
      <c r="AG145" s="3">
        <v>5.7374637499999999</v>
      </c>
      <c r="AH145" s="3">
        <v>6.8194999999999997</v>
      </c>
      <c r="AI145" s="3">
        <v>153.0603175</v>
      </c>
      <c r="AJ145" s="3">
        <v>65.745999999999995</v>
      </c>
      <c r="AK145" s="3">
        <f t="shared" si="12"/>
        <v>3.1473075000000001</v>
      </c>
      <c r="AL145" s="3">
        <f t="shared" si="13"/>
        <v>1.8009999999999999</v>
      </c>
      <c r="AM145" s="3">
        <f t="shared" si="14"/>
        <v>25.706668749999999</v>
      </c>
      <c r="AN145" s="3">
        <f t="shared" si="15"/>
        <v>13.634499999999999</v>
      </c>
      <c r="AO145" s="3">
        <f t="shared" si="16"/>
        <v>1.4072274999999999</v>
      </c>
      <c r="AP145" s="3">
        <f t="shared" si="17"/>
        <v>0.62049999999999994</v>
      </c>
      <c r="AQ145" s="3">
        <v>95</v>
      </c>
      <c r="AR145" s="3">
        <v>1.32</v>
      </c>
    </row>
    <row r="146" spans="1:44" ht="15.75" thickBot="1">
      <c r="A146" s="3">
        <v>0.32300000000000001</v>
      </c>
      <c r="B146" s="3">
        <v>0.29749999999999999</v>
      </c>
      <c r="C146" s="3">
        <v>0.15</v>
      </c>
      <c r="D146" s="3">
        <v>0</v>
      </c>
      <c r="E146" s="3">
        <v>0.21675</v>
      </c>
      <c r="F146" s="3">
        <v>0</v>
      </c>
      <c r="G146" s="3">
        <v>0</v>
      </c>
      <c r="H146" s="3">
        <v>0</v>
      </c>
      <c r="I146" s="3">
        <v>0</v>
      </c>
      <c r="J146" s="3">
        <v>0.85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0.15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22.004225000000002</v>
      </c>
      <c r="Z146" s="3">
        <v>14.765000000000001</v>
      </c>
      <c r="AA146" s="3">
        <v>1.3209225</v>
      </c>
      <c r="AB146" s="3">
        <v>1.8855</v>
      </c>
      <c r="AC146" s="3">
        <v>28.205175000000001</v>
      </c>
      <c r="AD146" s="3">
        <v>10.6685</v>
      </c>
      <c r="AE146" s="3">
        <v>2.6826734999999999</v>
      </c>
      <c r="AF146" s="3">
        <v>2.6070000000000002</v>
      </c>
      <c r="AG146" s="3">
        <v>5.7648975</v>
      </c>
      <c r="AH146" s="3">
        <v>6.8194999999999997</v>
      </c>
      <c r="AI146" s="3">
        <v>153.925915</v>
      </c>
      <c r="AJ146" s="3">
        <v>66.018000000000001</v>
      </c>
      <c r="AK146" s="3">
        <f t="shared" si="12"/>
        <v>3.1593349999999996</v>
      </c>
      <c r="AL146" s="3">
        <f t="shared" si="13"/>
        <v>1.8009999999999999</v>
      </c>
      <c r="AM146" s="3">
        <f t="shared" si="14"/>
        <v>26.596937499999999</v>
      </c>
      <c r="AN146" s="3">
        <f t="shared" si="15"/>
        <v>13.634499999999999</v>
      </c>
      <c r="AO146" s="3">
        <f t="shared" si="16"/>
        <v>1.4076949999999999</v>
      </c>
      <c r="AP146" s="3">
        <f t="shared" si="17"/>
        <v>0.62049999999999994</v>
      </c>
      <c r="AQ146" s="3">
        <v>290</v>
      </c>
      <c r="AR146" s="3">
        <v>3.72</v>
      </c>
    </row>
    <row r="147" spans="1:44" ht="15.75" thickBot="1">
      <c r="A147" s="3">
        <v>0.35</v>
      </c>
      <c r="B147" s="3">
        <v>0.629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0.7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0.3</v>
      </c>
      <c r="Q147" s="3">
        <v>0</v>
      </c>
      <c r="R147" s="3">
        <v>0</v>
      </c>
      <c r="S147" s="3">
        <v>2.1000000000000001E-2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18.266120000000001</v>
      </c>
      <c r="Z147" s="3">
        <v>14.93</v>
      </c>
      <c r="AA147" s="3">
        <v>1.3277099999999999</v>
      </c>
      <c r="AB147" s="3">
        <v>1.911</v>
      </c>
      <c r="AC147" s="3">
        <v>22.689540000000001</v>
      </c>
      <c r="AD147" s="3">
        <v>10.696999999999999</v>
      </c>
      <c r="AE147" s="3">
        <v>2.39961</v>
      </c>
      <c r="AF147" s="3">
        <v>2.6339999999999999</v>
      </c>
      <c r="AG147" s="3">
        <v>5.8942500000000004</v>
      </c>
      <c r="AH147" s="3">
        <v>6.8090000000000002</v>
      </c>
      <c r="AI147" s="3">
        <v>149.17941999999999</v>
      </c>
      <c r="AJ147" s="3">
        <v>63.731999999999999</v>
      </c>
      <c r="AK147" s="3">
        <f t="shared" si="12"/>
        <v>3.1979299999999999</v>
      </c>
      <c r="AL147" s="3">
        <f t="shared" si="13"/>
        <v>1.7919999999999998</v>
      </c>
      <c r="AM147" s="3">
        <f t="shared" si="14"/>
        <v>37.176333999999997</v>
      </c>
      <c r="AN147" s="3">
        <f t="shared" si="15"/>
        <v>13.698999999999998</v>
      </c>
      <c r="AO147" s="3">
        <f t="shared" si="16"/>
        <v>1.3717999999999999</v>
      </c>
      <c r="AP147" s="3">
        <f t="shared" si="17"/>
        <v>0.63100000000000001</v>
      </c>
      <c r="AQ147" s="3">
        <v>350</v>
      </c>
      <c r="AR147" s="3">
        <v>4.83</v>
      </c>
    </row>
    <row r="148" spans="1:44" ht="15.75" thickBot="1">
      <c r="A148" s="3">
        <v>0.41399999999999998</v>
      </c>
      <c r="B148" s="3">
        <v>0.51400000000000001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7.1999999999999995E-2</v>
      </c>
      <c r="I148" s="3">
        <v>0</v>
      </c>
      <c r="J148" s="3">
        <v>0.9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0.1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18.314540000000001</v>
      </c>
      <c r="Z148" s="3">
        <v>14.71</v>
      </c>
      <c r="AA148" s="3">
        <v>1.4211800000000001</v>
      </c>
      <c r="AB148" s="3">
        <v>1.877</v>
      </c>
      <c r="AC148" s="3">
        <v>23.79278</v>
      </c>
      <c r="AD148" s="3">
        <v>10.659000000000001</v>
      </c>
      <c r="AE148" s="3">
        <v>2.433802</v>
      </c>
      <c r="AF148" s="3">
        <v>2.5979999999999999</v>
      </c>
      <c r="AG148" s="3">
        <v>6.0309999999999997</v>
      </c>
      <c r="AH148" s="3">
        <v>6.8230000000000004</v>
      </c>
      <c r="AI148" s="3">
        <v>160.70323999999999</v>
      </c>
      <c r="AJ148" s="3">
        <v>67.947999999999993</v>
      </c>
      <c r="AK148" s="3">
        <f t="shared" si="12"/>
        <v>3.0899200000000002</v>
      </c>
      <c r="AL148" s="3">
        <f t="shared" si="13"/>
        <v>1.804</v>
      </c>
      <c r="AM148" s="3">
        <f t="shared" si="14"/>
        <v>31.938803999999998</v>
      </c>
      <c r="AN148" s="3">
        <f t="shared" si="15"/>
        <v>13.613000000000001</v>
      </c>
      <c r="AO148" s="3">
        <f t="shared" si="16"/>
        <v>1.3892800000000001</v>
      </c>
      <c r="AP148" s="3">
        <f t="shared" si="17"/>
        <v>0.61699999999999999</v>
      </c>
      <c r="AQ148" s="3">
        <v>70</v>
      </c>
      <c r="AR148" s="3">
        <v>0.71</v>
      </c>
    </row>
    <row r="149" spans="1:44" ht="15.75" thickBot="1">
      <c r="A149" s="3">
        <v>0.1164</v>
      </c>
      <c r="B149" s="3">
        <v>0.83079999999999998</v>
      </c>
      <c r="C149" s="3">
        <v>0</v>
      </c>
      <c r="D149" s="3">
        <v>0</v>
      </c>
      <c r="E149" s="3">
        <v>0.03</v>
      </c>
      <c r="F149" s="3">
        <v>0</v>
      </c>
      <c r="G149" s="3">
        <v>0</v>
      </c>
      <c r="H149" s="3">
        <v>0</v>
      </c>
      <c r="I149" s="3">
        <v>0</v>
      </c>
      <c r="J149" s="3">
        <v>0.26279999999999998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0.73719999999999997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21.719947999999999</v>
      </c>
      <c r="Z149" s="3">
        <v>15.410920000000001</v>
      </c>
      <c r="AA149" s="3">
        <v>1.022408</v>
      </c>
      <c r="AB149" s="3">
        <v>1.9853240000000001</v>
      </c>
      <c r="AC149" s="3">
        <v>23.255108</v>
      </c>
      <c r="AD149" s="3">
        <v>10.780068</v>
      </c>
      <c r="AE149" s="3">
        <v>2.5303708</v>
      </c>
      <c r="AF149" s="3">
        <v>2.7126960000000002</v>
      </c>
      <c r="AG149" s="3">
        <v>5.2884039999999999</v>
      </c>
      <c r="AH149" s="3">
        <v>6.7783959999999999</v>
      </c>
      <c r="AI149" s="3">
        <v>127.14119599999999</v>
      </c>
      <c r="AJ149" s="3">
        <v>55.946800000000003</v>
      </c>
      <c r="AK149" s="3">
        <f t="shared" si="12"/>
        <v>3.4483839999999999</v>
      </c>
      <c r="AL149" s="3">
        <f t="shared" si="13"/>
        <v>1.765768</v>
      </c>
      <c r="AM149" s="3">
        <f t="shared" si="14"/>
        <v>41.559988799999999</v>
      </c>
      <c r="AN149" s="3">
        <f t="shared" si="15"/>
        <v>13.886996</v>
      </c>
      <c r="AO149" s="3">
        <f t="shared" si="16"/>
        <v>1.3551519999999999</v>
      </c>
      <c r="AP149" s="3">
        <f t="shared" si="17"/>
        <v>0.66160399999999997</v>
      </c>
      <c r="AQ149" s="3">
        <v>270</v>
      </c>
      <c r="AR149" s="3">
        <v>2.64</v>
      </c>
    </row>
    <row r="150" spans="1:44" ht="15.75" thickBot="1">
      <c r="A150" s="3">
        <v>0.38</v>
      </c>
      <c r="B150" s="3">
        <v>0.57999999999999996</v>
      </c>
      <c r="C150" s="3">
        <v>0</v>
      </c>
      <c r="D150" s="3">
        <v>0</v>
      </c>
      <c r="E150" s="3">
        <v>0.04</v>
      </c>
      <c r="F150" s="3">
        <v>0</v>
      </c>
      <c r="G150" s="3">
        <v>0</v>
      </c>
      <c r="H150" s="3">
        <v>0</v>
      </c>
      <c r="I150" s="3">
        <v>0</v>
      </c>
      <c r="J150" s="3">
        <v>0.76</v>
      </c>
      <c r="K150" s="3">
        <v>0.04</v>
      </c>
      <c r="L150" s="3">
        <v>0</v>
      </c>
      <c r="M150" s="3">
        <v>0</v>
      </c>
      <c r="N150" s="3">
        <v>0</v>
      </c>
      <c r="O150" s="3">
        <v>0</v>
      </c>
      <c r="P150" s="3">
        <v>0.2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17.899799999999999</v>
      </c>
      <c r="Z150" s="3">
        <v>14.952</v>
      </c>
      <c r="AA150" s="3">
        <v>1.3746</v>
      </c>
      <c r="AB150" s="3">
        <v>1.8875999999999999</v>
      </c>
      <c r="AC150" s="3">
        <v>23.247800000000002</v>
      </c>
      <c r="AD150" s="3">
        <v>10.653359999999999</v>
      </c>
      <c r="AE150" s="3">
        <v>2.4242599999999999</v>
      </c>
      <c r="AF150" s="3">
        <v>2.6257999999999999</v>
      </c>
      <c r="AG150" s="3">
        <v>5.9752000000000001</v>
      </c>
      <c r="AH150" s="3">
        <v>6.8079999999999998</v>
      </c>
      <c r="AI150" s="3">
        <v>154.87479999999999</v>
      </c>
      <c r="AJ150" s="3">
        <v>65.959999999999994</v>
      </c>
      <c r="AK150" s="3">
        <f t="shared" si="12"/>
        <v>3.1351999999999998</v>
      </c>
      <c r="AL150" s="3">
        <f t="shared" si="13"/>
        <v>1.8040000000000003</v>
      </c>
      <c r="AM150" s="3">
        <f t="shared" si="14"/>
        <v>34.213079999999998</v>
      </c>
      <c r="AN150" s="3">
        <f t="shared" si="15"/>
        <v>13.6372</v>
      </c>
      <c r="AO150" s="3">
        <f t="shared" si="16"/>
        <v>1.3768</v>
      </c>
      <c r="AP150" s="3">
        <f t="shared" si="17"/>
        <v>0.62840000000000007</v>
      </c>
      <c r="AQ150" s="3">
        <v>230</v>
      </c>
      <c r="AR150" s="3">
        <v>3.14</v>
      </c>
    </row>
    <row r="151" spans="1:44" ht="24.75" thickBot="1">
      <c r="A151" s="9">
        <v>0.3</v>
      </c>
      <c r="B151" s="3">
        <v>0.5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0.2</v>
      </c>
      <c r="I151" s="3">
        <v>0</v>
      </c>
      <c r="J151" s="3">
        <v>0.76</v>
      </c>
      <c r="K151" s="3">
        <v>0.04</v>
      </c>
      <c r="L151" s="3">
        <v>0</v>
      </c>
      <c r="M151" s="3">
        <v>0</v>
      </c>
      <c r="N151" s="3">
        <v>0</v>
      </c>
      <c r="O151" s="3">
        <v>0</v>
      </c>
      <c r="P151" s="3">
        <v>0.2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22.215</v>
      </c>
      <c r="Z151" s="3">
        <v>14.952</v>
      </c>
      <c r="AA151" s="3">
        <v>1.3029999999999999</v>
      </c>
      <c r="AB151" s="3">
        <v>1.8875999999999999</v>
      </c>
      <c r="AC151" s="3">
        <v>25.914999999999999</v>
      </c>
      <c r="AD151" s="3">
        <v>10.653359999999999</v>
      </c>
      <c r="AE151" s="3">
        <v>2.6044999999999998</v>
      </c>
      <c r="AF151" s="3">
        <v>2.6257999999999999</v>
      </c>
      <c r="AG151" s="3">
        <v>5.7960000000000003</v>
      </c>
      <c r="AH151" s="3">
        <v>6.8079999999999998</v>
      </c>
      <c r="AI151" s="3">
        <v>160.38200000000001</v>
      </c>
      <c r="AJ151" s="3">
        <v>68.12</v>
      </c>
      <c r="AK151" s="3">
        <f t="shared" si="12"/>
        <v>3.21</v>
      </c>
      <c r="AL151" s="3">
        <f t="shared" si="13"/>
        <v>1.8040000000000003</v>
      </c>
      <c r="AM151" s="3">
        <f t="shared" si="14"/>
        <v>30.652999999999999</v>
      </c>
      <c r="AN151" s="3">
        <f t="shared" si="15"/>
        <v>13.6372</v>
      </c>
      <c r="AO151" s="3">
        <f t="shared" si="16"/>
        <v>1.4220000000000002</v>
      </c>
      <c r="AP151" s="3">
        <f t="shared" si="17"/>
        <v>0.62840000000000007</v>
      </c>
      <c r="AQ151" s="9">
        <v>175</v>
      </c>
      <c r="AR151" s="3">
        <v>1.69</v>
      </c>
    </row>
    <row r="152" spans="1:44" ht="15.75" thickBot="1">
      <c r="A152" s="3">
        <v>0.36199999999999999</v>
      </c>
      <c r="B152" s="3">
        <v>0.55800000000000005</v>
      </c>
      <c r="C152" s="3">
        <v>0</v>
      </c>
      <c r="D152" s="3">
        <v>0</v>
      </c>
      <c r="E152" s="3">
        <v>7.0000000000000007E-2</v>
      </c>
      <c r="F152" s="3">
        <v>0</v>
      </c>
      <c r="G152" s="3">
        <v>0</v>
      </c>
      <c r="H152" s="3">
        <v>0</v>
      </c>
      <c r="I152" s="3">
        <v>0</v>
      </c>
      <c r="J152" s="3">
        <v>0.78400000000000003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0.216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18.06418</v>
      </c>
      <c r="Z152" s="3">
        <v>14.8376</v>
      </c>
      <c r="AA152" s="3">
        <v>1.3504</v>
      </c>
      <c r="AB152" s="3">
        <v>1.89672</v>
      </c>
      <c r="AC152" s="3">
        <v>23.359259999999999</v>
      </c>
      <c r="AD152" s="3">
        <v>10.681039999999999</v>
      </c>
      <c r="AE152" s="3">
        <v>2.4263140000000001</v>
      </c>
      <c r="AF152" s="3">
        <v>2.6188799999999999</v>
      </c>
      <c r="AG152" s="3">
        <v>5.9017799999999996</v>
      </c>
      <c r="AH152" s="3">
        <v>6.8148799999999996</v>
      </c>
      <c r="AI152" s="3">
        <v>152.28579999999999</v>
      </c>
      <c r="AJ152" s="3">
        <v>64.947999999999993</v>
      </c>
      <c r="AK152" s="3">
        <f t="shared" si="12"/>
        <v>3.1002399999999999</v>
      </c>
      <c r="AL152" s="3">
        <f t="shared" si="13"/>
        <v>1.79704</v>
      </c>
      <c r="AM152" s="3">
        <f t="shared" si="14"/>
        <v>33.203088000000001</v>
      </c>
      <c r="AN152" s="3">
        <f t="shared" si="15"/>
        <v>13.662880000000001</v>
      </c>
      <c r="AO152" s="3">
        <f t="shared" si="16"/>
        <v>1.3651200000000001</v>
      </c>
      <c r="AP152" s="3">
        <f t="shared" si="17"/>
        <v>0.62512000000000001</v>
      </c>
      <c r="AQ152" s="3">
        <v>200</v>
      </c>
      <c r="AR152" s="3">
        <v>3.12</v>
      </c>
    </row>
    <row r="153" spans="1:44" ht="15.75" thickBot="1">
      <c r="A153" s="3">
        <v>0.38750000000000001</v>
      </c>
      <c r="B153" s="3">
        <v>0.40250000000000002</v>
      </c>
      <c r="C153" s="3">
        <v>0</v>
      </c>
      <c r="D153" s="3">
        <v>0</v>
      </c>
      <c r="E153" s="3">
        <v>0.315</v>
      </c>
      <c r="F153" s="3">
        <v>0</v>
      </c>
      <c r="G153" s="3">
        <v>0</v>
      </c>
      <c r="H153" s="3">
        <v>0</v>
      </c>
      <c r="I153" s="3">
        <v>0</v>
      </c>
      <c r="J153" s="3">
        <v>0.59499999999999997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0.105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0.3</v>
      </c>
      <c r="W153" s="3">
        <v>0</v>
      </c>
      <c r="X153" s="3">
        <v>0</v>
      </c>
      <c r="Y153" s="3">
        <v>21.265775000000001</v>
      </c>
      <c r="Z153" s="3">
        <v>15.6755</v>
      </c>
      <c r="AA153" s="3">
        <v>1.543425</v>
      </c>
      <c r="AB153" s="3">
        <v>1.7698499999999999</v>
      </c>
      <c r="AC153" s="3">
        <v>28.520174999999998</v>
      </c>
      <c r="AD153" s="3">
        <v>11.96795</v>
      </c>
      <c r="AE153" s="3">
        <v>2.8516124999999999</v>
      </c>
      <c r="AF153" s="3">
        <v>2.6499000000000001</v>
      </c>
      <c r="AG153" s="3">
        <v>6.6821999999999999</v>
      </c>
      <c r="AH153" s="3">
        <v>6.7416499999999999</v>
      </c>
      <c r="AI153" s="3">
        <v>169.69045</v>
      </c>
      <c r="AJ153" s="3">
        <v>72.254999999999995</v>
      </c>
      <c r="AK153" s="3">
        <f t="shared" si="12"/>
        <v>3.2930000000000001</v>
      </c>
      <c r="AL153" s="3">
        <f t="shared" si="13"/>
        <v>1.9237000000000002</v>
      </c>
      <c r="AM153" s="3">
        <f t="shared" si="14"/>
        <v>28.978315000000006</v>
      </c>
      <c r="AN153" s="3">
        <f t="shared" si="15"/>
        <v>13.38415</v>
      </c>
      <c r="AO153" s="3">
        <f t="shared" si="16"/>
        <v>1.5362</v>
      </c>
      <c r="AP153" s="3">
        <f t="shared" si="17"/>
        <v>0.65934999999999999</v>
      </c>
      <c r="AQ153" s="3">
        <v>540</v>
      </c>
      <c r="AR153" s="3">
        <v>7.3</v>
      </c>
    </row>
    <row r="154" spans="1:44" ht="15.75" thickBot="1">
      <c r="A154" s="3">
        <v>0.42499999999999999</v>
      </c>
      <c r="B154" s="3">
        <v>0.42499999999999999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0.85</v>
      </c>
      <c r="K154" s="3">
        <v>0</v>
      </c>
      <c r="L154" s="3">
        <v>0</v>
      </c>
      <c r="M154" s="3">
        <v>7.4999999999999997E-2</v>
      </c>
      <c r="N154" s="3">
        <v>0</v>
      </c>
      <c r="O154" s="3">
        <v>0</v>
      </c>
      <c r="P154" s="3">
        <v>7.4999999999999997E-2</v>
      </c>
      <c r="Q154" s="3">
        <v>0</v>
      </c>
      <c r="R154" s="3">
        <v>0</v>
      </c>
      <c r="S154" s="3">
        <v>0</v>
      </c>
      <c r="T154" s="3">
        <v>0</v>
      </c>
      <c r="U154" s="3">
        <v>0.15</v>
      </c>
      <c r="V154" s="3">
        <v>0</v>
      </c>
      <c r="W154" s="3">
        <v>0</v>
      </c>
      <c r="X154" s="3">
        <v>0</v>
      </c>
      <c r="Y154" s="3">
        <v>14.40875</v>
      </c>
      <c r="Z154" s="3">
        <v>14.57</v>
      </c>
      <c r="AA154" s="3">
        <v>1.44825</v>
      </c>
      <c r="AB154" s="3">
        <v>1.8787499999999999</v>
      </c>
      <c r="AC154" s="3">
        <v>20.703749999999999</v>
      </c>
      <c r="AD154" s="3">
        <v>10.67</v>
      </c>
      <c r="AE154" s="3">
        <v>2.2914750000000002</v>
      </c>
      <c r="AF154" s="3">
        <v>2.6092499999999998</v>
      </c>
      <c r="AG154" s="3">
        <v>6.4139999999999997</v>
      </c>
      <c r="AH154" s="3">
        <v>6.8787500000000001</v>
      </c>
      <c r="AI154" s="3">
        <v>175.91425000000001</v>
      </c>
      <c r="AJ154" s="3">
        <v>74.25</v>
      </c>
      <c r="AK154" s="3">
        <f t="shared" si="12"/>
        <v>2.9765000000000001</v>
      </c>
      <c r="AL154" s="3">
        <f t="shared" si="13"/>
        <v>1.79725</v>
      </c>
      <c r="AM154" s="3">
        <f t="shared" si="14"/>
        <v>30.419050000000002</v>
      </c>
      <c r="AN154" s="3">
        <f t="shared" si="15"/>
        <v>13.79725</v>
      </c>
      <c r="AO154" s="3">
        <f t="shared" si="16"/>
        <v>1.3789999999999998</v>
      </c>
      <c r="AP154" s="3">
        <f t="shared" si="17"/>
        <v>0.62050000000000005</v>
      </c>
      <c r="AQ154" s="3">
        <v>518</v>
      </c>
      <c r="AR154" s="3">
        <v>6.6</v>
      </c>
    </row>
    <row r="155" spans="1:44" ht="15.75" thickBot="1">
      <c r="A155" s="3">
        <v>0.41625000000000001</v>
      </c>
      <c r="B155" s="3">
        <v>0.41625000000000001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6.7500000000000004E-2</v>
      </c>
      <c r="I155" s="3">
        <v>0</v>
      </c>
      <c r="J155" s="3">
        <v>0.9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0.1</v>
      </c>
      <c r="Q155" s="3">
        <v>0</v>
      </c>
      <c r="R155" s="3">
        <v>0</v>
      </c>
      <c r="S155" s="3">
        <v>0</v>
      </c>
      <c r="T155" s="3">
        <v>0</v>
      </c>
      <c r="U155" s="3">
        <v>0.1</v>
      </c>
      <c r="V155" s="3">
        <v>0</v>
      </c>
      <c r="W155" s="3">
        <v>0</v>
      </c>
      <c r="X155" s="3">
        <v>0</v>
      </c>
      <c r="Y155" s="3">
        <v>16.4737875</v>
      </c>
      <c r="Z155" s="3">
        <v>14.71</v>
      </c>
      <c r="AA155" s="3">
        <v>1.4411375</v>
      </c>
      <c r="AB155" s="3">
        <v>1.877</v>
      </c>
      <c r="AC155" s="3">
        <v>22.371512500000001</v>
      </c>
      <c r="AD155" s="3">
        <v>10.659000000000001</v>
      </c>
      <c r="AE155" s="3">
        <v>2.3749487500000002</v>
      </c>
      <c r="AF155" s="3">
        <v>2.5979999999999999</v>
      </c>
      <c r="AG155" s="3">
        <v>6.2785000000000002</v>
      </c>
      <c r="AH155" s="3">
        <v>6.8230000000000004</v>
      </c>
      <c r="AI155" s="3">
        <v>168.9966</v>
      </c>
      <c r="AJ155" s="3">
        <v>71.507499999999993</v>
      </c>
      <c r="AK155" s="3">
        <f t="shared" si="12"/>
        <v>3.0053000000000001</v>
      </c>
      <c r="AL155" s="3">
        <f t="shared" si="13"/>
        <v>1.804</v>
      </c>
      <c r="AM155" s="3">
        <f t="shared" si="14"/>
        <v>29.459172499999998</v>
      </c>
      <c r="AN155" s="3">
        <f t="shared" si="15"/>
        <v>13.613000000000001</v>
      </c>
      <c r="AO155" s="3">
        <f t="shared" si="16"/>
        <v>1.3922000000000001</v>
      </c>
      <c r="AP155" s="3">
        <f t="shared" si="17"/>
        <v>0.61699999999999999</v>
      </c>
      <c r="AQ155" s="3">
        <v>180</v>
      </c>
      <c r="AR155" s="3">
        <v>3.92</v>
      </c>
    </row>
    <row r="156" spans="1:44" ht="15.75" thickBot="1">
      <c r="A156" s="3">
        <v>0.50159339999999997</v>
      </c>
      <c r="B156" s="3">
        <v>0.4103946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5.8212E-2</v>
      </c>
      <c r="I156" s="3">
        <v>1.9800000000000002E-2</v>
      </c>
      <c r="J156" s="3">
        <v>0.99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0.01</v>
      </c>
      <c r="Q156" s="3">
        <v>0</v>
      </c>
      <c r="R156" s="3">
        <v>0</v>
      </c>
      <c r="S156" s="3">
        <v>0</v>
      </c>
      <c r="T156" s="3">
        <v>0</v>
      </c>
      <c r="U156" s="3">
        <v>0.01</v>
      </c>
      <c r="V156" s="3">
        <v>0</v>
      </c>
      <c r="W156" s="3">
        <v>0</v>
      </c>
      <c r="X156" s="3">
        <v>0</v>
      </c>
      <c r="Y156" s="3">
        <v>16.601001369999999</v>
      </c>
      <c r="Z156" s="3">
        <v>14.611000000000001</v>
      </c>
      <c r="AA156" s="3">
        <v>1.5389600299999999</v>
      </c>
      <c r="AB156" s="3">
        <v>1.8616999999999999</v>
      </c>
      <c r="AC156" s="3">
        <v>23.215530860000001</v>
      </c>
      <c r="AD156" s="3">
        <v>10.6419</v>
      </c>
      <c r="AE156" s="3">
        <v>2.369348934</v>
      </c>
      <c r="AF156" s="3">
        <v>2.5817999999999999</v>
      </c>
      <c r="AG156" s="3">
        <v>6.2502987159999996</v>
      </c>
      <c r="AH156" s="3">
        <v>6.8292999999999999</v>
      </c>
      <c r="AI156" s="3">
        <v>174.50001140000001</v>
      </c>
      <c r="AJ156" s="3">
        <v>73.195064799999997</v>
      </c>
      <c r="AK156" s="3">
        <f t="shared" si="12"/>
        <v>2.9312832079999995</v>
      </c>
      <c r="AL156" s="3">
        <f t="shared" si="13"/>
        <v>1.8094000000000001</v>
      </c>
      <c r="AM156" s="3">
        <f t="shared" si="14"/>
        <v>28.7986368356</v>
      </c>
      <c r="AN156" s="3">
        <f t="shared" si="15"/>
        <v>13.574300000000001</v>
      </c>
      <c r="AO156" s="3">
        <f t="shared" si="16"/>
        <v>1.3825489040000001</v>
      </c>
      <c r="AP156" s="3">
        <f t="shared" si="17"/>
        <v>0.61070000000000002</v>
      </c>
      <c r="AQ156" s="3">
        <v>138</v>
      </c>
      <c r="AR156" s="3">
        <v>1.19</v>
      </c>
    </row>
    <row r="157" spans="1:44" ht="15.75" thickBot="1">
      <c r="A157" s="3">
        <v>0.38</v>
      </c>
      <c r="B157" s="3">
        <v>0.38</v>
      </c>
      <c r="C157" s="3">
        <v>0</v>
      </c>
      <c r="D157" s="3">
        <v>0</v>
      </c>
      <c r="E157" s="3">
        <v>0.24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0.05</v>
      </c>
      <c r="Q157" s="3">
        <v>0</v>
      </c>
      <c r="R157" s="3">
        <v>0</v>
      </c>
      <c r="S157" s="3">
        <v>0</v>
      </c>
      <c r="T157" s="3">
        <v>0</v>
      </c>
      <c r="U157" s="3">
        <v>0.05</v>
      </c>
      <c r="V157" s="3">
        <v>0</v>
      </c>
      <c r="W157" s="3">
        <v>0</v>
      </c>
      <c r="X157" s="3">
        <v>0</v>
      </c>
      <c r="Y157" s="3">
        <v>18.936800000000002</v>
      </c>
      <c r="Z157" s="3">
        <v>15.385</v>
      </c>
      <c r="AA157" s="3">
        <v>1.4761</v>
      </c>
      <c r="AB157" s="3">
        <v>1.9615</v>
      </c>
      <c r="AC157" s="3">
        <v>25.793299999999999</v>
      </c>
      <c r="AD157" s="3">
        <v>11.1815</v>
      </c>
      <c r="AE157" s="3">
        <v>2.6417600000000001</v>
      </c>
      <c r="AF157" s="3">
        <v>2.718</v>
      </c>
      <c r="AG157" s="3">
        <v>6.4637000000000002</v>
      </c>
      <c r="AH157" s="3">
        <v>7.1680000000000001</v>
      </c>
      <c r="AI157" s="3">
        <v>167.1808</v>
      </c>
      <c r="AJ157" s="3">
        <v>71.239999999999995</v>
      </c>
      <c r="AK157" s="3">
        <f t="shared" si="12"/>
        <v>3.1182000000000003</v>
      </c>
      <c r="AL157" s="3">
        <f t="shared" si="13"/>
        <v>1.8975</v>
      </c>
      <c r="AM157" s="3">
        <f t="shared" si="14"/>
        <v>28.03688</v>
      </c>
      <c r="AN157" s="3">
        <f t="shared" si="15"/>
        <v>14.27</v>
      </c>
      <c r="AO157" s="3">
        <f t="shared" si="16"/>
        <v>1.4582999999999997</v>
      </c>
      <c r="AP157" s="3">
        <f t="shared" si="17"/>
        <v>0.64400000000000002</v>
      </c>
      <c r="AQ157" s="3">
        <v>120</v>
      </c>
      <c r="AR157" s="3">
        <v>2.0299999999999998</v>
      </c>
    </row>
    <row r="158" spans="1:44" ht="15.75" thickBot="1">
      <c r="A158" s="3">
        <v>0.36099999999999999</v>
      </c>
      <c r="B158" s="3">
        <v>0.36099999999999999</v>
      </c>
      <c r="C158" s="3">
        <v>0</v>
      </c>
      <c r="D158" s="3">
        <v>0</v>
      </c>
      <c r="E158" s="3">
        <v>0.22800000000000001</v>
      </c>
      <c r="F158" s="3">
        <v>0</v>
      </c>
      <c r="G158" s="3">
        <v>0</v>
      </c>
      <c r="H158" s="3">
        <v>0</v>
      </c>
      <c r="I158" s="3">
        <v>0</v>
      </c>
      <c r="J158" s="3">
        <v>0.95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0.05</v>
      </c>
      <c r="Q158" s="3">
        <v>0</v>
      </c>
      <c r="R158" s="3">
        <v>0</v>
      </c>
      <c r="S158" s="3">
        <v>0</v>
      </c>
      <c r="T158" s="3">
        <v>0</v>
      </c>
      <c r="U158" s="3">
        <v>0.05</v>
      </c>
      <c r="V158" s="3">
        <v>0</v>
      </c>
      <c r="W158" s="3">
        <v>0</v>
      </c>
      <c r="X158" s="3">
        <v>0</v>
      </c>
      <c r="Y158" s="3">
        <v>18.006910000000001</v>
      </c>
      <c r="Z158" s="3">
        <v>14.654999999999999</v>
      </c>
      <c r="AA158" s="3">
        <v>1.4049700000000001</v>
      </c>
      <c r="AB158" s="3">
        <v>1.8685</v>
      </c>
      <c r="AC158" s="3">
        <v>24.529309999999999</v>
      </c>
      <c r="AD158" s="3">
        <v>10.6495</v>
      </c>
      <c r="AE158" s="3">
        <v>2.5149469999999998</v>
      </c>
      <c r="AF158" s="3">
        <v>2.589</v>
      </c>
      <c r="AG158" s="3">
        <v>6.15944</v>
      </c>
      <c r="AH158" s="3">
        <v>6.8265000000000002</v>
      </c>
      <c r="AI158" s="3">
        <v>159.32126</v>
      </c>
      <c r="AJ158" s="3">
        <v>67.897999999999996</v>
      </c>
      <c r="AK158" s="3">
        <f t="shared" si="12"/>
        <v>2.9695400000000003</v>
      </c>
      <c r="AL158" s="3">
        <f t="shared" si="13"/>
        <v>1.8069999999999999</v>
      </c>
      <c r="AM158" s="3">
        <f t="shared" si="14"/>
        <v>26.688786</v>
      </c>
      <c r="AN158" s="3">
        <f t="shared" si="15"/>
        <v>13.591499999999998</v>
      </c>
      <c r="AO158" s="3">
        <f t="shared" si="16"/>
        <v>1.3889599999999998</v>
      </c>
      <c r="AP158" s="3">
        <f t="shared" si="17"/>
        <v>0.61350000000000005</v>
      </c>
      <c r="AQ158" s="3">
        <v>316</v>
      </c>
      <c r="AR158" s="3">
        <v>3.22</v>
      </c>
    </row>
    <row r="159" spans="1:44" ht="15.75" thickBot="1">
      <c r="A159" s="3">
        <v>0.36099999999999999</v>
      </c>
      <c r="B159" s="3">
        <v>0.28499999999999998</v>
      </c>
      <c r="C159" s="3">
        <v>0</v>
      </c>
      <c r="D159" s="3">
        <v>0</v>
      </c>
      <c r="E159" s="3">
        <v>0.26600000000000001</v>
      </c>
      <c r="F159" s="3">
        <v>0</v>
      </c>
      <c r="G159" s="3">
        <v>0</v>
      </c>
      <c r="H159" s="3">
        <v>0</v>
      </c>
      <c r="I159" s="3">
        <v>0</v>
      </c>
      <c r="J159" s="3">
        <v>0.95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0.05</v>
      </c>
      <c r="Q159" s="3">
        <v>0</v>
      </c>
      <c r="R159" s="3">
        <v>0</v>
      </c>
      <c r="S159" s="3">
        <v>0</v>
      </c>
      <c r="T159" s="3">
        <v>0</v>
      </c>
      <c r="U159" s="3">
        <v>0.05</v>
      </c>
      <c r="V159" s="3">
        <v>0</v>
      </c>
      <c r="W159" s="3">
        <v>0</v>
      </c>
      <c r="X159" s="3">
        <v>0</v>
      </c>
      <c r="Y159" s="3">
        <v>17.22335</v>
      </c>
      <c r="Z159" s="3">
        <v>14.654999999999999</v>
      </c>
      <c r="AA159" s="3">
        <v>1.3802700000000001</v>
      </c>
      <c r="AB159" s="3">
        <v>1.8685</v>
      </c>
      <c r="AC159" s="3">
        <v>24.011749999999999</v>
      </c>
      <c r="AD159" s="3">
        <v>10.6495</v>
      </c>
      <c r="AE159" s="3">
        <v>2.435527</v>
      </c>
      <c r="AF159" s="3">
        <v>2.589</v>
      </c>
      <c r="AG159" s="3">
        <v>5.9850199999999996</v>
      </c>
      <c r="AH159" s="3">
        <v>6.8265000000000002</v>
      </c>
      <c r="AI159" s="3">
        <v>160.91498000000001</v>
      </c>
      <c r="AJ159" s="3">
        <v>68.506</v>
      </c>
      <c r="AK159" s="3">
        <f t="shared" si="12"/>
        <v>2.7970199999999998</v>
      </c>
      <c r="AL159" s="3">
        <f t="shared" si="13"/>
        <v>1.8069999999999999</v>
      </c>
      <c r="AM159" s="3">
        <f t="shared" si="14"/>
        <v>23.514189999999996</v>
      </c>
      <c r="AN159" s="3">
        <f t="shared" si="15"/>
        <v>13.591499999999998</v>
      </c>
      <c r="AO159" s="3">
        <f t="shared" si="16"/>
        <v>1.3380399999999999</v>
      </c>
      <c r="AP159" s="3">
        <f t="shared" si="17"/>
        <v>0.61350000000000005</v>
      </c>
      <c r="AQ159" s="3">
        <v>246</v>
      </c>
      <c r="AR159" s="3">
        <v>3.62</v>
      </c>
    </row>
    <row r="160" spans="1:44" ht="15.75" thickBot="1">
      <c r="A160" s="3">
        <v>0.13750000000000001</v>
      </c>
      <c r="B160" s="3">
        <v>0.13750000000000001</v>
      </c>
      <c r="C160" s="3">
        <v>0</v>
      </c>
      <c r="D160" s="3">
        <v>0</v>
      </c>
      <c r="E160" s="3">
        <v>0.1575</v>
      </c>
      <c r="F160" s="3">
        <v>0</v>
      </c>
      <c r="G160" s="3">
        <v>0</v>
      </c>
      <c r="H160" s="3">
        <v>0</v>
      </c>
      <c r="I160" s="3">
        <v>0</v>
      </c>
      <c r="J160" s="3">
        <v>0.5</v>
      </c>
      <c r="K160" s="3">
        <v>0</v>
      </c>
      <c r="L160" s="3">
        <v>0</v>
      </c>
      <c r="M160" s="3">
        <v>0</v>
      </c>
      <c r="N160" s="3">
        <v>4.4999999999999998E-2</v>
      </c>
      <c r="O160" s="3">
        <v>0</v>
      </c>
      <c r="P160" s="3">
        <v>0.5</v>
      </c>
      <c r="Q160" s="3">
        <v>0</v>
      </c>
      <c r="R160" s="3">
        <v>0</v>
      </c>
      <c r="S160" s="3">
        <v>0</v>
      </c>
      <c r="T160" s="3">
        <v>0</v>
      </c>
      <c r="U160" s="3">
        <v>0.5</v>
      </c>
      <c r="V160" s="3">
        <v>0</v>
      </c>
      <c r="W160" s="3">
        <v>0</v>
      </c>
      <c r="X160" s="3">
        <v>0</v>
      </c>
      <c r="Y160" s="3">
        <v>12.069625</v>
      </c>
      <c r="Z160" s="3">
        <v>16.562999999999999</v>
      </c>
      <c r="AA160" s="3">
        <v>1.1295999999999999</v>
      </c>
      <c r="AB160" s="3">
        <v>1.9990000000000001</v>
      </c>
      <c r="AC160" s="3">
        <v>16.680425</v>
      </c>
      <c r="AD160" s="3">
        <v>11.661099999999999</v>
      </c>
      <c r="AE160" s="3">
        <v>2.1995374999999999</v>
      </c>
      <c r="AF160" s="3">
        <v>2.8495499999999998</v>
      </c>
      <c r="AG160" s="3">
        <v>6.3889250000000004</v>
      </c>
      <c r="AH160" s="3">
        <v>7.0434000000000001</v>
      </c>
      <c r="AI160" s="3">
        <v>175.99924999999999</v>
      </c>
      <c r="AJ160" s="3">
        <v>76.61</v>
      </c>
      <c r="AK160" s="3">
        <f t="shared" si="12"/>
        <v>2.7321499999999999</v>
      </c>
      <c r="AL160" s="3">
        <f t="shared" si="13"/>
        <v>1.8866499999999999</v>
      </c>
      <c r="AM160" s="3">
        <f t="shared" si="14"/>
        <v>21.285299999999999</v>
      </c>
      <c r="AN160" s="3">
        <f t="shared" si="15"/>
        <v>14.2674</v>
      </c>
      <c r="AO160" s="3">
        <f t="shared" si="16"/>
        <v>1.3185500000000001</v>
      </c>
      <c r="AP160" s="3">
        <f t="shared" si="17"/>
        <v>0.68910000000000005</v>
      </c>
      <c r="AQ160" s="3">
        <v>330</v>
      </c>
      <c r="AR160" s="3">
        <v>3.08</v>
      </c>
    </row>
    <row r="161" spans="1:44" ht="15.75" thickBot="1">
      <c r="A161" s="3">
        <v>0.41849999999999998</v>
      </c>
      <c r="B161" s="3">
        <v>0.46850000000000003</v>
      </c>
      <c r="C161" s="3">
        <v>0.05</v>
      </c>
      <c r="D161" s="3">
        <v>0</v>
      </c>
      <c r="E161" s="3">
        <v>0</v>
      </c>
      <c r="F161" s="3">
        <v>0</v>
      </c>
      <c r="G161" s="3">
        <v>0</v>
      </c>
      <c r="H161" s="3">
        <v>6.3E-2</v>
      </c>
      <c r="I161" s="3">
        <v>0</v>
      </c>
      <c r="J161" s="3">
        <v>0.9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0.1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19.046534999999999</v>
      </c>
      <c r="Z161" s="3">
        <v>14.71</v>
      </c>
      <c r="AA161" s="3">
        <v>1.4205950000000001</v>
      </c>
      <c r="AB161" s="3">
        <v>1.877</v>
      </c>
      <c r="AC161" s="3">
        <v>24.760245000000001</v>
      </c>
      <c r="AD161" s="3">
        <v>10.659000000000001</v>
      </c>
      <c r="AE161" s="3">
        <v>2.4760955</v>
      </c>
      <c r="AF161" s="3">
        <v>2.5979999999999999</v>
      </c>
      <c r="AG161" s="3">
        <v>6</v>
      </c>
      <c r="AH161" s="3">
        <v>6.8230000000000004</v>
      </c>
      <c r="AI161" s="3">
        <v>161.30495999999999</v>
      </c>
      <c r="AJ161" s="3">
        <v>68.266999999999996</v>
      </c>
      <c r="AK161" s="3">
        <f t="shared" si="12"/>
        <v>3.1301800000000002</v>
      </c>
      <c r="AL161" s="3">
        <f t="shared" si="13"/>
        <v>1.804</v>
      </c>
      <c r="AM161" s="3">
        <f t="shared" si="14"/>
        <v>31.353941000000003</v>
      </c>
      <c r="AN161" s="3">
        <f t="shared" si="15"/>
        <v>13.613000000000001</v>
      </c>
      <c r="AO161" s="3">
        <f t="shared" si="16"/>
        <v>1.3996200000000001</v>
      </c>
      <c r="AP161" s="3">
        <f t="shared" si="17"/>
        <v>0.61699999999999999</v>
      </c>
      <c r="AQ161" s="3">
        <v>50</v>
      </c>
      <c r="AR161" s="3">
        <v>0.42</v>
      </c>
    </row>
    <row r="162" spans="1:44" ht="24.75" thickBot="1">
      <c r="A162" s="9">
        <v>0.39228000000000002</v>
      </c>
      <c r="B162" s="3">
        <v>0.42168</v>
      </c>
      <c r="C162" s="3">
        <v>2.9399999999999999E-2</v>
      </c>
      <c r="D162" s="3">
        <v>0</v>
      </c>
      <c r="E162" s="3">
        <v>0.16</v>
      </c>
      <c r="F162" s="3">
        <v>0</v>
      </c>
      <c r="G162" s="3">
        <v>0</v>
      </c>
      <c r="H162" s="3">
        <v>0</v>
      </c>
      <c r="I162" s="3">
        <v>0</v>
      </c>
      <c r="J162" s="3">
        <v>0.94455999999999996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5.8799999999999998E-2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18.751540800000001</v>
      </c>
      <c r="Z162" s="3">
        <v>14.713736000000001</v>
      </c>
      <c r="AA162" s="3">
        <v>1.4190944000000001</v>
      </c>
      <c r="AB162" s="3">
        <v>1.8762456000000001</v>
      </c>
      <c r="AC162" s="3">
        <v>25.168073199999998</v>
      </c>
      <c r="AD162" s="3">
        <v>10.6869224</v>
      </c>
      <c r="AE162" s="3">
        <v>2.5229211600000001</v>
      </c>
      <c r="AF162" s="3">
        <v>2.5992527999999999</v>
      </c>
      <c r="AG162" s="3">
        <v>6.0612295999999999</v>
      </c>
      <c r="AH162" s="3">
        <v>6.8488328000000003</v>
      </c>
      <c r="AI162" s="3">
        <v>157.63247680000001</v>
      </c>
      <c r="AJ162" s="3">
        <v>67.027439999999999</v>
      </c>
      <c r="AK162" s="3">
        <f t="shared" si="12"/>
        <v>3.0579364</v>
      </c>
      <c r="AL162" s="3">
        <f t="shared" si="13"/>
        <v>1.8125536</v>
      </c>
      <c r="AM162" s="3">
        <f t="shared" si="14"/>
        <v>29.185358480000001</v>
      </c>
      <c r="AN162" s="3">
        <f t="shared" si="15"/>
        <v>13.640879199999999</v>
      </c>
      <c r="AO162" s="3">
        <f t="shared" si="16"/>
        <v>1.3943292</v>
      </c>
      <c r="AP162" s="3">
        <f t="shared" si="17"/>
        <v>0.61616559999999998</v>
      </c>
      <c r="AQ162" s="9">
        <v>70</v>
      </c>
      <c r="AR162" s="3">
        <v>0.59</v>
      </c>
    </row>
    <row r="163" spans="1:44" ht="15.75" thickBot="1">
      <c r="A163" s="3">
        <v>0.47</v>
      </c>
      <c r="B163" s="3">
        <v>0.376</v>
      </c>
      <c r="C163" s="3">
        <v>9.4E-2</v>
      </c>
      <c r="D163" s="3">
        <v>0</v>
      </c>
      <c r="E163" s="3">
        <v>0</v>
      </c>
      <c r="F163" s="3">
        <v>0</v>
      </c>
      <c r="G163" s="3">
        <v>0</v>
      </c>
      <c r="H163" s="3">
        <v>0.06</v>
      </c>
      <c r="I163" s="3">
        <v>0</v>
      </c>
      <c r="J163" s="3">
        <v>0.94</v>
      </c>
      <c r="K163" s="3">
        <v>0</v>
      </c>
      <c r="L163" s="3">
        <v>2.1000000000000001E-2</v>
      </c>
      <c r="M163" s="3">
        <v>7.1999999999999998E-3</v>
      </c>
      <c r="N163" s="3">
        <v>0</v>
      </c>
      <c r="O163" s="3">
        <v>0</v>
      </c>
      <c r="P163" s="3">
        <v>2.4E-2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18.972999999999999</v>
      </c>
      <c r="Z163" s="3">
        <v>14.35976</v>
      </c>
      <c r="AA163" s="3">
        <v>1.48044</v>
      </c>
      <c r="AB163" s="3">
        <v>1.850568</v>
      </c>
      <c r="AC163" s="3">
        <v>25.56494</v>
      </c>
      <c r="AD163" s="3">
        <v>10.68173</v>
      </c>
      <c r="AE163" s="3">
        <v>2.48597</v>
      </c>
      <c r="AF163" s="3">
        <v>2.5510079999999999</v>
      </c>
      <c r="AG163" s="3">
        <v>6.0747999999999998</v>
      </c>
      <c r="AH163" s="3">
        <v>6.79094</v>
      </c>
      <c r="AI163" s="3">
        <v>169.92066</v>
      </c>
      <c r="AJ163" s="3">
        <v>71.531599999999997</v>
      </c>
      <c r="AK163" s="3">
        <f t="shared" si="12"/>
        <v>3.0933799999999998</v>
      </c>
      <c r="AL163" s="3">
        <f t="shared" si="13"/>
        <v>1.8039400000000001</v>
      </c>
      <c r="AM163" s="3">
        <f t="shared" si="14"/>
        <v>29.201756000000003</v>
      </c>
      <c r="AN163" s="3">
        <f t="shared" si="15"/>
        <v>13.515454</v>
      </c>
      <c r="AO163" s="3">
        <f t="shared" si="16"/>
        <v>1.4079000000000002</v>
      </c>
      <c r="AP163" s="3">
        <f t="shared" si="17"/>
        <v>0.60910599999999993</v>
      </c>
      <c r="AQ163" s="3">
        <v>125</v>
      </c>
      <c r="AR163" s="3">
        <v>1.65</v>
      </c>
    </row>
    <row r="164" spans="1:44" ht="15.75" thickBot="1">
      <c r="A164" s="3">
        <v>0.33839999999999998</v>
      </c>
      <c r="B164" s="3">
        <v>0.33550000000000002</v>
      </c>
      <c r="C164" s="3">
        <v>0.03</v>
      </c>
      <c r="D164" s="3">
        <v>0</v>
      </c>
      <c r="E164" s="3">
        <v>0.27965000000000001</v>
      </c>
      <c r="F164" s="3">
        <v>0</v>
      </c>
      <c r="G164" s="3">
        <v>0</v>
      </c>
      <c r="H164" s="3">
        <v>0</v>
      </c>
      <c r="I164" s="3">
        <v>0</v>
      </c>
      <c r="J164" s="3">
        <v>0.94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0.06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19.603204999999999</v>
      </c>
      <c r="Z164" s="3">
        <v>14.666</v>
      </c>
      <c r="AA164" s="3">
        <v>1.3627754999999999</v>
      </c>
      <c r="AB164" s="3">
        <v>1.8702000000000001</v>
      </c>
      <c r="AC164" s="3">
        <v>26.059014999999999</v>
      </c>
      <c r="AD164" s="3">
        <v>10.651400000000001</v>
      </c>
      <c r="AE164" s="3">
        <v>2.5732363</v>
      </c>
      <c r="AF164" s="3">
        <v>2.5908000000000002</v>
      </c>
      <c r="AG164" s="3">
        <v>5.9094305</v>
      </c>
      <c r="AH164" s="3">
        <v>6.8258000000000001</v>
      </c>
      <c r="AI164" s="3">
        <v>154.82565700000001</v>
      </c>
      <c r="AJ164" s="3">
        <v>66.114400000000003</v>
      </c>
      <c r="AK164" s="3">
        <f t="shared" si="12"/>
        <v>2.9673930000000004</v>
      </c>
      <c r="AL164" s="3">
        <f t="shared" si="13"/>
        <v>1.8064</v>
      </c>
      <c r="AM164" s="3">
        <f t="shared" si="14"/>
        <v>25.549172499999997</v>
      </c>
      <c r="AN164" s="3">
        <f t="shared" si="15"/>
        <v>13.595799999999999</v>
      </c>
      <c r="AO164" s="3">
        <f t="shared" si="16"/>
        <v>1.375081</v>
      </c>
      <c r="AP164" s="3">
        <f t="shared" si="17"/>
        <v>0.61419999999999986</v>
      </c>
      <c r="AQ164" s="3">
        <v>180</v>
      </c>
      <c r="AR164" s="3">
        <v>2.65</v>
      </c>
    </row>
    <row r="165" spans="1:44" ht="15.75" thickBot="1">
      <c r="A165" s="3">
        <v>0.42270000000000002</v>
      </c>
      <c r="B165" s="3">
        <v>0.32500000000000001</v>
      </c>
      <c r="C165" s="3">
        <v>0</v>
      </c>
      <c r="D165" s="3">
        <v>0</v>
      </c>
      <c r="E165" s="3">
        <v>0.2465</v>
      </c>
      <c r="F165" s="3">
        <v>0</v>
      </c>
      <c r="G165" s="3">
        <v>0</v>
      </c>
      <c r="H165" s="3">
        <v>0</v>
      </c>
      <c r="I165" s="3">
        <v>0</v>
      </c>
      <c r="J165" s="3">
        <v>0.97389999999999999</v>
      </c>
      <c r="K165" s="3">
        <v>0</v>
      </c>
      <c r="L165" s="3">
        <v>0</v>
      </c>
      <c r="M165" s="3">
        <v>0.06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0.03</v>
      </c>
      <c r="U165" s="3">
        <v>0</v>
      </c>
      <c r="V165" s="3">
        <v>0</v>
      </c>
      <c r="W165" s="3">
        <v>0</v>
      </c>
      <c r="X165" s="3">
        <v>0</v>
      </c>
      <c r="Y165" s="3">
        <v>17.767130000000002</v>
      </c>
      <c r="Z165" s="3">
        <v>15.25694</v>
      </c>
      <c r="AA165" s="3">
        <v>1.4723729999999999</v>
      </c>
      <c r="AB165" s="3">
        <v>1.977954</v>
      </c>
      <c r="AC165" s="3">
        <v>25.102447000000002</v>
      </c>
      <c r="AD165" s="3">
        <v>11.225996</v>
      </c>
      <c r="AE165" s="3">
        <v>2.4966469</v>
      </c>
      <c r="AF165" s="3">
        <v>2.7433619999999999</v>
      </c>
      <c r="AG165" s="3">
        <v>6.1503410000000001</v>
      </c>
      <c r="AH165" s="3">
        <v>7.3417370000000002</v>
      </c>
      <c r="AI165" s="3">
        <v>176.70510100000001</v>
      </c>
      <c r="AJ165" s="3">
        <v>74.611900000000006</v>
      </c>
      <c r="AK165" s="3">
        <f t="shared" si="12"/>
        <v>2.883105</v>
      </c>
      <c r="AL165" s="3">
        <f t="shared" si="13"/>
        <v>1.899559</v>
      </c>
      <c r="AM165" s="3">
        <f t="shared" si="14"/>
        <v>25.145935000000001</v>
      </c>
      <c r="AN165" s="3">
        <f t="shared" si="15"/>
        <v>14.671723</v>
      </c>
      <c r="AO165" s="3">
        <f t="shared" si="16"/>
        <v>1.3773549999999999</v>
      </c>
      <c r="AP165" s="3">
        <f t="shared" si="17"/>
        <v>0.65437899999999993</v>
      </c>
      <c r="AQ165" s="3">
        <v>190</v>
      </c>
      <c r="AR165" s="3">
        <v>2.29</v>
      </c>
    </row>
    <row r="166" spans="1:44" ht="15.75" thickBot="1">
      <c r="A166" s="3">
        <v>0.28000000000000003</v>
      </c>
      <c r="B166" s="3">
        <v>0.28000000000000003</v>
      </c>
      <c r="C166" s="3">
        <v>0</v>
      </c>
      <c r="D166" s="3">
        <v>0</v>
      </c>
      <c r="E166" s="3">
        <v>0.21</v>
      </c>
      <c r="F166" s="3">
        <v>0</v>
      </c>
      <c r="G166" s="3">
        <v>0</v>
      </c>
      <c r="H166" s="3">
        <v>0.14000000000000001</v>
      </c>
      <c r="I166" s="3">
        <v>0.06</v>
      </c>
      <c r="J166" s="3">
        <v>0.95799999999999996</v>
      </c>
      <c r="K166" s="3">
        <v>4.2000000000000003E-2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22.0428</v>
      </c>
      <c r="Z166" s="3">
        <v>14.7386</v>
      </c>
      <c r="AA166" s="3">
        <v>1.3179000000000001</v>
      </c>
      <c r="AB166" s="3">
        <v>1.85328</v>
      </c>
      <c r="AC166" s="3">
        <v>26.438400000000001</v>
      </c>
      <c r="AD166" s="3">
        <v>10.614127999999999</v>
      </c>
      <c r="AE166" s="3">
        <v>2.6363400000000001</v>
      </c>
      <c r="AF166" s="3">
        <v>2.59029</v>
      </c>
      <c r="AG166" s="3">
        <v>5.7361000000000004</v>
      </c>
      <c r="AH166" s="3">
        <v>6.8216000000000001</v>
      </c>
      <c r="AI166" s="3">
        <v>160.75970000000001</v>
      </c>
      <c r="AJ166" s="3">
        <v>68.316000000000003</v>
      </c>
      <c r="AK166" s="3">
        <f t="shared" si="12"/>
        <v>2.9018000000000006</v>
      </c>
      <c r="AL166" s="3">
        <f t="shared" si="13"/>
        <v>1.8163</v>
      </c>
      <c r="AM166" s="3">
        <f t="shared" si="14"/>
        <v>22.295979999999997</v>
      </c>
      <c r="AN166" s="3">
        <f t="shared" si="15"/>
        <v>13.55026</v>
      </c>
      <c r="AO166" s="3">
        <f t="shared" si="16"/>
        <v>1.3766000000000003</v>
      </c>
      <c r="AP166" s="3">
        <f t="shared" si="17"/>
        <v>0.61462000000000006</v>
      </c>
      <c r="AQ166" s="3">
        <v>210</v>
      </c>
      <c r="AR166" s="3">
        <v>2.6</v>
      </c>
    </row>
    <row r="167" spans="1:44" ht="15.75" thickBot="1">
      <c r="A167" s="3">
        <v>0.39</v>
      </c>
      <c r="B167" s="3">
        <v>0.34</v>
      </c>
      <c r="C167" s="3">
        <v>0</v>
      </c>
      <c r="D167" s="3">
        <v>0</v>
      </c>
      <c r="E167" s="3">
        <v>0.17499999999999999</v>
      </c>
      <c r="F167" s="3">
        <v>0</v>
      </c>
      <c r="G167" s="3">
        <v>0</v>
      </c>
      <c r="H167" s="3">
        <v>7.0000000000000007E-2</v>
      </c>
      <c r="I167" s="3">
        <v>0</v>
      </c>
      <c r="J167" s="3">
        <v>0.96599999999999997</v>
      </c>
      <c r="K167" s="3">
        <v>1.7000000000000001E-2</v>
      </c>
      <c r="L167" s="3">
        <v>1.7000000000000001E-2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18.692399999999999</v>
      </c>
      <c r="Z167" s="3">
        <v>14.541180000000001</v>
      </c>
      <c r="AA167" s="3">
        <v>1.41055</v>
      </c>
      <c r="AB167" s="3">
        <v>1.85762</v>
      </c>
      <c r="AC167" s="3">
        <v>25.006799999999998</v>
      </c>
      <c r="AD167" s="3">
        <v>10.725578000000001</v>
      </c>
      <c r="AE167" s="3">
        <v>2.4797199999999999</v>
      </c>
      <c r="AF167" s="3">
        <v>2.5722649999999998</v>
      </c>
      <c r="AG167" s="3">
        <v>5.9472500000000004</v>
      </c>
      <c r="AH167" s="3">
        <v>6.8352700000000004</v>
      </c>
      <c r="AI167" s="3">
        <v>164.2372</v>
      </c>
      <c r="AJ167" s="3">
        <v>69.462000000000003</v>
      </c>
      <c r="AK167" s="3">
        <f t="shared" si="12"/>
        <v>2.8912000000000004</v>
      </c>
      <c r="AL167" s="3">
        <f t="shared" si="13"/>
        <v>1.8208799999999998</v>
      </c>
      <c r="AM167" s="3">
        <f t="shared" si="14"/>
        <v>25.220490000000002</v>
      </c>
      <c r="AN167" s="3">
        <f t="shared" si="15"/>
        <v>13.580030000000001</v>
      </c>
      <c r="AO167" s="3">
        <f t="shared" si="16"/>
        <v>1.3638000000000001</v>
      </c>
      <c r="AP167" s="3">
        <f t="shared" si="17"/>
        <v>0.61323000000000005</v>
      </c>
      <c r="AQ167" s="3">
        <v>170</v>
      </c>
      <c r="AR167" s="3">
        <v>2.39</v>
      </c>
    </row>
    <row r="168" spans="1:44" ht="15.75" thickBot="1">
      <c r="A168" s="3">
        <v>0.48</v>
      </c>
      <c r="B168" s="3">
        <v>0.34560000000000002</v>
      </c>
      <c r="C168" s="3">
        <v>8.6400000000000005E-2</v>
      </c>
      <c r="D168" s="3">
        <v>0</v>
      </c>
      <c r="E168" s="3">
        <v>0.04</v>
      </c>
      <c r="F168" s="3">
        <v>0</v>
      </c>
      <c r="G168" s="3">
        <v>0</v>
      </c>
      <c r="H168" s="3">
        <v>0</v>
      </c>
      <c r="I168" s="3">
        <v>0</v>
      </c>
      <c r="J168" s="3">
        <v>0.97499999999999998</v>
      </c>
      <c r="K168" s="3">
        <v>0</v>
      </c>
      <c r="L168" s="3">
        <v>0</v>
      </c>
      <c r="M168" s="3">
        <v>2.5000000000000001E-2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4.8000000000000001E-2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17.876639999999998</v>
      </c>
      <c r="Z168" s="3">
        <v>14.5625</v>
      </c>
      <c r="AA168" s="3">
        <v>1.4923040000000001</v>
      </c>
      <c r="AB168" s="3">
        <v>1.8620000000000001</v>
      </c>
      <c r="AC168" s="3">
        <v>24.398944</v>
      </c>
      <c r="AD168" s="3">
        <v>10.645250000000001</v>
      </c>
      <c r="AE168" s="3">
        <v>2.3988960000000001</v>
      </c>
      <c r="AF168" s="3">
        <v>2.5852499999999998</v>
      </c>
      <c r="AG168" s="3">
        <v>6.1320800000000002</v>
      </c>
      <c r="AH168" s="3">
        <v>6.8479999999999999</v>
      </c>
      <c r="AI168" s="3">
        <v>166.74543199999999</v>
      </c>
      <c r="AJ168" s="3">
        <v>70.222200000000001</v>
      </c>
      <c r="AK168" s="3">
        <f t="shared" si="12"/>
        <v>3.030208</v>
      </c>
      <c r="AL168" s="3">
        <f t="shared" si="13"/>
        <v>1.80725</v>
      </c>
      <c r="AM168" s="3">
        <f t="shared" si="14"/>
        <v>31.162793600000001</v>
      </c>
      <c r="AN168" s="3">
        <f t="shared" si="15"/>
        <v>13.635</v>
      </c>
      <c r="AO168" s="3">
        <f t="shared" si="16"/>
        <v>1.3848000000000003</v>
      </c>
      <c r="AP168" s="3">
        <f t="shared" si="17"/>
        <v>0.61175000000000002</v>
      </c>
      <c r="AQ168" s="3">
        <v>90</v>
      </c>
      <c r="AR168" s="3">
        <v>1.6</v>
      </c>
    </row>
    <row r="169" spans="1:44" ht="15.75" thickBot="1">
      <c r="A169" s="3">
        <v>0.24</v>
      </c>
      <c r="B169" s="3">
        <v>0.59199999999999997</v>
      </c>
      <c r="C169" s="3">
        <v>4.8000000000000001E-2</v>
      </c>
      <c r="D169" s="3">
        <v>0</v>
      </c>
      <c r="E169" s="3">
        <v>0.12</v>
      </c>
      <c r="F169" s="3">
        <v>0</v>
      </c>
      <c r="G169" s="3">
        <v>0</v>
      </c>
      <c r="H169" s="3">
        <v>0</v>
      </c>
      <c r="I169" s="3">
        <v>0</v>
      </c>
      <c r="J169" s="3">
        <v>0.6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0.4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21.428000000000001</v>
      </c>
      <c r="Z169" s="3">
        <v>15.04</v>
      </c>
      <c r="AA169" s="3">
        <v>1.21448</v>
      </c>
      <c r="AB169" s="3">
        <v>1.9279999999999999</v>
      </c>
      <c r="AC169" s="3">
        <v>25.470079999999999</v>
      </c>
      <c r="AD169" s="3">
        <v>10.715999999999999</v>
      </c>
      <c r="AE169" s="3">
        <v>2.6103999999999998</v>
      </c>
      <c r="AF169" s="3">
        <v>2.6520000000000001</v>
      </c>
      <c r="AG169" s="3">
        <v>5.6811999999999996</v>
      </c>
      <c r="AH169" s="3">
        <v>6.8019999999999996</v>
      </c>
      <c r="AI169" s="3">
        <v>142.10744</v>
      </c>
      <c r="AJ169" s="3">
        <v>61.503999999999998</v>
      </c>
      <c r="AK169" s="3">
        <f t="shared" si="12"/>
        <v>3.3193600000000001</v>
      </c>
      <c r="AL169" s="3">
        <f t="shared" si="13"/>
        <v>1.786</v>
      </c>
      <c r="AM169" s="3">
        <f t="shared" si="14"/>
        <v>34.843151999999996</v>
      </c>
      <c r="AN169" s="3">
        <f t="shared" si="15"/>
        <v>13.742000000000001</v>
      </c>
      <c r="AO169" s="3">
        <f t="shared" si="16"/>
        <v>1.3983999999999999</v>
      </c>
      <c r="AP169" s="3">
        <f t="shared" si="17"/>
        <v>0.63800000000000001</v>
      </c>
      <c r="AQ169" s="3">
        <v>260</v>
      </c>
      <c r="AR169" s="3">
        <v>4.4400000000000004</v>
      </c>
    </row>
    <row r="170" spans="1:44" ht="15.75" thickBot="1">
      <c r="A170" s="3">
        <v>0.34508</v>
      </c>
      <c r="B170" s="3">
        <v>0.26507999999999998</v>
      </c>
      <c r="C170" s="3">
        <v>0</v>
      </c>
      <c r="D170" s="3">
        <v>3.5999999999999997E-2</v>
      </c>
      <c r="E170" s="3">
        <v>0.28000000000000003</v>
      </c>
      <c r="F170" s="3">
        <v>0</v>
      </c>
      <c r="G170" s="3">
        <v>0</v>
      </c>
      <c r="H170" s="3">
        <v>3.3840000000000002E-2</v>
      </c>
      <c r="I170" s="3">
        <v>0</v>
      </c>
      <c r="J170" s="3">
        <v>0.96399999999999997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3.5999999999999997E-2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18.836918799999999</v>
      </c>
      <c r="Z170" s="3">
        <v>14.6576</v>
      </c>
      <c r="AA170" s="3">
        <v>1.3694596000000001</v>
      </c>
      <c r="AB170" s="3">
        <v>1.8553200000000001</v>
      </c>
      <c r="AC170" s="3">
        <v>25.394991600000001</v>
      </c>
      <c r="AD170" s="3">
        <v>10.7408</v>
      </c>
      <c r="AE170" s="3">
        <v>2.5135104400000001</v>
      </c>
      <c r="AF170" s="3">
        <v>2.5918800000000002</v>
      </c>
      <c r="AG170" s="3">
        <v>5.86416</v>
      </c>
      <c r="AH170" s="3">
        <v>6.8296400000000004</v>
      </c>
      <c r="AI170" s="3">
        <v>161.6236528</v>
      </c>
      <c r="AJ170" s="3">
        <v>68.612560000000002</v>
      </c>
      <c r="AK170" s="3">
        <f t="shared" si="12"/>
        <v>2.7933423999999998</v>
      </c>
      <c r="AL170" s="3">
        <f t="shared" si="13"/>
        <v>1.8125199999999999</v>
      </c>
      <c r="AM170" s="3">
        <f t="shared" si="14"/>
        <v>22.151528880000001</v>
      </c>
      <c r="AN170" s="3">
        <f t="shared" si="15"/>
        <v>13.621479999999998</v>
      </c>
      <c r="AO170" s="3">
        <f t="shared" si="16"/>
        <v>1.3402415999999997</v>
      </c>
      <c r="AP170" s="3">
        <f t="shared" si="17"/>
        <v>0.61360000000000003</v>
      </c>
      <c r="AQ170" s="3">
        <v>450</v>
      </c>
      <c r="AR170" s="3">
        <v>6.19</v>
      </c>
    </row>
    <row r="171" spans="1:44" ht="15.75" thickBot="1">
      <c r="A171" s="3">
        <v>0.39610000000000001</v>
      </c>
      <c r="B171" s="3">
        <v>0.29609999999999997</v>
      </c>
      <c r="C171" s="3">
        <v>0</v>
      </c>
      <c r="D171" s="3">
        <v>0</v>
      </c>
      <c r="E171" s="3">
        <v>0.25380000000000003</v>
      </c>
      <c r="F171" s="3">
        <v>0</v>
      </c>
      <c r="G171" s="3">
        <v>0</v>
      </c>
      <c r="H171" s="3">
        <v>0.06</v>
      </c>
      <c r="I171" s="3">
        <v>0</v>
      </c>
      <c r="J171" s="3">
        <v>0.84599999999999997</v>
      </c>
      <c r="K171" s="3">
        <v>0.06</v>
      </c>
      <c r="L171" s="3">
        <v>0</v>
      </c>
      <c r="M171" s="3">
        <v>0</v>
      </c>
      <c r="N171" s="3">
        <v>0</v>
      </c>
      <c r="O171" s="3">
        <v>0</v>
      </c>
      <c r="P171" s="3">
        <v>3.1333020000000003E-2</v>
      </c>
      <c r="Q171" s="3">
        <v>6.2666040000000006E-2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19.456990999999999</v>
      </c>
      <c r="Z171" s="3">
        <v>14.58178844</v>
      </c>
      <c r="AA171" s="3">
        <v>1.462777</v>
      </c>
      <c r="AB171" s="3">
        <v>1.8212585429999999</v>
      </c>
      <c r="AC171" s="3">
        <v>26.385721</v>
      </c>
      <c r="AD171" s="3">
        <v>10.819541170000001</v>
      </c>
      <c r="AE171" s="3">
        <v>2.5944946999999998</v>
      </c>
      <c r="AF171" s="3">
        <v>2.5658711959999998</v>
      </c>
      <c r="AG171" s="3">
        <v>6.1622839999999997</v>
      </c>
      <c r="AH171" s="3">
        <v>6.8665597610000004</v>
      </c>
      <c r="AI171" s="3">
        <v>170.53764519999999</v>
      </c>
      <c r="AJ171" s="3">
        <v>72.1864463</v>
      </c>
      <c r="AK171" s="3">
        <f t="shared" si="12"/>
        <v>2.9377740000000001</v>
      </c>
      <c r="AL171" s="3">
        <f t="shared" si="13"/>
        <v>1.8478246770000002</v>
      </c>
      <c r="AM171" s="3">
        <f t="shared" si="14"/>
        <v>24.015668599999998</v>
      </c>
      <c r="AN171" s="3">
        <f t="shared" si="15"/>
        <v>13.6467528612</v>
      </c>
      <c r="AO171" s="3">
        <f t="shared" si="16"/>
        <v>1.4083860000000001</v>
      </c>
      <c r="AP171" s="3">
        <f t="shared" si="17"/>
        <v>0.62568600240000005</v>
      </c>
      <c r="AQ171" s="3">
        <v>260</v>
      </c>
      <c r="AR171" s="3">
        <v>4.07</v>
      </c>
    </row>
    <row r="172" spans="1:44" ht="15.75" thickBot="1">
      <c r="A172" s="3">
        <v>0.44750000000000001</v>
      </c>
      <c r="B172" s="3">
        <v>0.23799999999999999</v>
      </c>
      <c r="C172" s="3">
        <v>5.9499999999999997E-2</v>
      </c>
      <c r="D172" s="3">
        <v>0</v>
      </c>
      <c r="E172" s="3">
        <v>0.1275</v>
      </c>
      <c r="F172" s="3">
        <v>0</v>
      </c>
      <c r="G172" s="3">
        <v>0</v>
      </c>
      <c r="H172" s="3">
        <v>0.1275</v>
      </c>
      <c r="I172" s="3">
        <v>0</v>
      </c>
      <c r="J172" s="3">
        <v>0.85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4.9950000000000001E-2</v>
      </c>
      <c r="Q172" s="3">
        <v>9.9989999999999996E-2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20.192499999999999</v>
      </c>
      <c r="Z172" s="3">
        <v>14.254109</v>
      </c>
      <c r="AA172" s="3">
        <v>1.498845</v>
      </c>
      <c r="AB172" s="3">
        <v>1.8133854</v>
      </c>
      <c r="AC172" s="3">
        <v>27.122045</v>
      </c>
      <c r="AD172" s="3">
        <v>10.984818499999999</v>
      </c>
      <c r="AE172" s="3">
        <v>2.5869425000000001</v>
      </c>
      <c r="AF172" s="3">
        <v>2.5338417</v>
      </c>
      <c r="AG172" s="3">
        <v>6.1291000000000002</v>
      </c>
      <c r="AH172" s="3">
        <v>6.9070856000000003</v>
      </c>
      <c r="AI172" s="3">
        <v>177.8910252</v>
      </c>
      <c r="AJ172" s="3">
        <v>74.823830000000001</v>
      </c>
      <c r="AK172" s="3">
        <f t="shared" si="12"/>
        <v>2.96774</v>
      </c>
      <c r="AL172" s="3">
        <f t="shared" si="13"/>
        <v>1.8558895</v>
      </c>
      <c r="AM172" s="3">
        <f t="shared" si="14"/>
        <v>23.290627999999998</v>
      </c>
      <c r="AN172" s="3">
        <f t="shared" si="15"/>
        <v>13.736649699999999</v>
      </c>
      <c r="AO172" s="3">
        <f t="shared" si="16"/>
        <v>1.4214</v>
      </c>
      <c r="AP172" s="3">
        <f t="shared" si="17"/>
        <v>0.62445879999999998</v>
      </c>
      <c r="AQ172" s="3">
        <v>300</v>
      </c>
      <c r="AR172" s="3">
        <v>4.9800000000000004</v>
      </c>
    </row>
    <row r="173" spans="1:44" ht="15.75" thickBot="1">
      <c r="A173" s="3">
        <v>0.2</v>
      </c>
      <c r="B173" s="3">
        <v>0.68</v>
      </c>
      <c r="C173" s="3">
        <v>0</v>
      </c>
      <c r="D173" s="3">
        <v>0</v>
      </c>
      <c r="E173" s="3">
        <v>0.12</v>
      </c>
      <c r="F173" s="3">
        <v>0</v>
      </c>
      <c r="G173" s="3">
        <v>0</v>
      </c>
      <c r="H173" s="3">
        <v>0</v>
      </c>
      <c r="I173" s="3">
        <v>0</v>
      </c>
      <c r="J173" s="3">
        <v>0.4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0.57330000000000003</v>
      </c>
      <c r="Q173" s="3">
        <v>3.9995999999999997E-2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21.186800000000002</v>
      </c>
      <c r="Z173" s="3">
        <v>15.264767600000001</v>
      </c>
      <c r="AA173" s="3">
        <v>1.1688000000000001</v>
      </c>
      <c r="AB173" s="3">
        <v>1.9601937599999999</v>
      </c>
      <c r="AC173" s="3">
        <v>24.505199999999999</v>
      </c>
      <c r="AD173" s="3">
        <v>11.024782999999999</v>
      </c>
      <c r="AE173" s="3">
        <v>2.5865999999999998</v>
      </c>
      <c r="AF173" s="3">
        <v>2.6954998799999998</v>
      </c>
      <c r="AG173" s="3">
        <v>5.6340000000000003</v>
      </c>
      <c r="AH173" s="3">
        <v>6.9130774400000004</v>
      </c>
      <c r="AI173" s="3">
        <v>141.36907410000001</v>
      </c>
      <c r="AJ173" s="3">
        <v>61.425252</v>
      </c>
      <c r="AK173" s="3">
        <f t="shared" si="12"/>
        <v>3.3368000000000002</v>
      </c>
      <c r="AL173" s="3">
        <f t="shared" si="13"/>
        <v>1.8192658000000002</v>
      </c>
      <c r="AM173" s="3">
        <f t="shared" si="14"/>
        <v>36.818080000000009</v>
      </c>
      <c r="AN173" s="3">
        <f t="shared" si="15"/>
        <v>14.055339880000002</v>
      </c>
      <c r="AO173" s="3">
        <f t="shared" si="16"/>
        <v>1.3880000000000001</v>
      </c>
      <c r="AP173" s="3">
        <f t="shared" si="17"/>
        <v>0.66264112000000008</v>
      </c>
      <c r="AQ173" s="3">
        <v>595</v>
      </c>
      <c r="AR173" s="3">
        <v>7.72</v>
      </c>
    </row>
    <row r="174" spans="1:44" ht="16.5" thickBot="1">
      <c r="A174" s="10">
        <v>0.441</v>
      </c>
      <c r="B174" s="3">
        <v>0.505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1.7999999999999999E-2</v>
      </c>
      <c r="J174" s="3">
        <v>0.88200000000000001</v>
      </c>
      <c r="K174" s="3">
        <v>1.7999999999999999E-2</v>
      </c>
      <c r="L174" s="3">
        <v>0</v>
      </c>
      <c r="M174" s="3">
        <v>0</v>
      </c>
      <c r="N174" s="3">
        <v>0</v>
      </c>
      <c r="O174" s="3">
        <v>0</v>
      </c>
      <c r="P174" s="3">
        <v>0.1</v>
      </c>
      <c r="Q174" s="3">
        <v>0</v>
      </c>
      <c r="R174" s="3">
        <v>0</v>
      </c>
      <c r="S174" s="3">
        <v>1.7999999999999999E-2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16.436689999999999</v>
      </c>
      <c r="Z174" s="3">
        <v>14.769399999999999</v>
      </c>
      <c r="AA174" s="3">
        <v>1.4336899999999999</v>
      </c>
      <c r="AB174" s="3">
        <v>1.87412</v>
      </c>
      <c r="AC174" s="3">
        <v>22.043990000000001</v>
      </c>
      <c r="AD174" s="3">
        <v>10.647912</v>
      </c>
      <c r="AE174" s="3">
        <v>2.303347</v>
      </c>
      <c r="AF174" s="3">
        <v>2.6024099999999999</v>
      </c>
      <c r="AG174" s="3">
        <v>6.0034599999999996</v>
      </c>
      <c r="AH174" s="3">
        <v>6.8193999999999999</v>
      </c>
      <c r="AI174" s="3">
        <v>159.59137999999999</v>
      </c>
      <c r="AJ174" s="3">
        <v>67.462000000000003</v>
      </c>
      <c r="AK174" s="3">
        <f t="shared" si="12"/>
        <v>2.9745399999999997</v>
      </c>
      <c r="AL174" s="3">
        <f t="shared" si="13"/>
        <v>1.8067</v>
      </c>
      <c r="AM174" s="3">
        <f t="shared" si="14"/>
        <v>32.804729999999999</v>
      </c>
      <c r="AN174" s="3">
        <f t="shared" si="15"/>
        <v>13.60454</v>
      </c>
      <c r="AO174" s="3">
        <f t="shared" si="16"/>
        <v>1.3431999999999999</v>
      </c>
      <c r="AP174" s="3">
        <f t="shared" si="17"/>
        <v>0.61897999999999986</v>
      </c>
      <c r="AQ174" s="11">
        <v>100</v>
      </c>
      <c r="AR174" s="3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</dc:creator>
  <cp:lastModifiedBy>Srujan Sapkal</cp:lastModifiedBy>
  <dcterms:created xsi:type="dcterms:W3CDTF">2015-06-05T18:17:20Z</dcterms:created>
  <dcterms:modified xsi:type="dcterms:W3CDTF">2026-03-13T05:50:59Z</dcterms:modified>
</cp:coreProperties>
</file>